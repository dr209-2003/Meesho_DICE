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eakeven" sheetId="1" r:id="rId4"/>
    <sheet state="visible" name="Holding_Cost_21D" sheetId="2" r:id="rId5"/>
  </sheets>
  <definedNames/>
  <calcPr/>
  <extLst>
    <ext uri="GoogleSheetsCustomDataVersion2">
      <go:sheetsCustomData xmlns:go="http://customooxmlschemas.google.com/" r:id="rId6" roundtripDataChecksum="L1FQXA9zKfQ8Supvu+lLUGjKhumLdiktXO+xmEGKJUQ="/>
    </ext>
  </extLst>
</workbook>
</file>

<file path=xl/sharedStrings.xml><?xml version="1.0" encoding="utf-8"?>
<sst xmlns="http://schemas.openxmlformats.org/spreadsheetml/2006/main" count="124" uniqueCount="118">
  <si>
    <t>HOLDING COST · keeping one RTO product at the LMDC for up to 21 days</t>
  </si>
  <si>
    <t>#</t>
  </si>
  <si>
    <t>Cost line</t>
  </si>
  <si>
    <t>What it covers</t>
  </si>
  <si>
    <t>Low case (₹)</t>
  </si>
  <si>
    <t>High case (₹)</t>
  </si>
  <si>
    <t>Why this cost is taken · source</t>
  </si>
  <si>
    <t>Storage (rack space)</t>
  </si>
  <si>
    <t>Shelf space in the LMDC RTO cage for up to 21 days</t>
  </si>
  <si>
    <t>Storage rate (row 18) × 21 ÷ 30 days. Benchmarks: Amazon India FBA storage ₹45–53 per cu ft per month × ~0.2 cu ft Meesho parcel ≈ ₹9–10.6 per 30 days; Delhi-NCR warehouse rent ₹21 per sq ft per month (Vestian, Aug 2025).</t>
  </si>
  <si>
    <t>Inventory handling</t>
  </si>
  <si>
    <t>Inbound scan at the hold rack, put-away, pick-out</t>
  </si>
  <si>
    <t>Amazon India FBA pick &amp; pack for a standard-size unit is about ₹14–17, so ₹14–15 is a fair LMDC handling cost.</t>
  </si>
  <si>
    <t>Invoice &amp; label regeneration</t>
  </si>
  <si>
    <t>New invoice and shipping label for the new buyer</t>
  </si>
  <si>
    <t>4×6 direct-thermal label costs ₹0.60 (IndiaMART); the rest covers printing and invoice regeneration.</t>
  </si>
  <si>
    <t>Additional manpower</t>
  </si>
  <si>
    <t>Daily count, seal/QC check, release to the shuttle</t>
  </si>
  <si>
    <t>About 3.7 minutes of a semi-skilled associate: Delhi minimum wage ₹20,371/month (from 1 Apr 2026) + 16.25% EPF/ESIC ≈ ₹1.90 per minute.</t>
  </si>
  <si>
    <t>Packaging, damage &amp; insurance allowance</t>
  </si>
  <si>
    <t>New outer bag when scuffed, small damage risk, stock cover</t>
  </si>
  <si>
    <t>Tamper-proof courier bag ₹3.63 (Flipkart, pack of 100) for about 1 in 4 units ≈ ₹0.90; SME stock insurance ≈ 0.07% a year (Policybazaar) ≈ ₹0.01; the rest is a damage allowance.</t>
  </si>
  <si>
    <t>₹0 LINES · costs that do not add up for Valmo-SAVE, and why</t>
  </si>
  <si>
    <t>LMDC → LMSC transfer</t>
  </si>
  <si>
    <t>Moving the product to the LMSC once a buyer is found</t>
  </si>
  <si>
    <t>₹0. Valmo's vehicles already run to and fro between the LMDC and LMSC several times a day. The held product rides in spare space on a trip that runs anyway: no extra trip, fuel or driver hour. It fits the existing infrastructure.</t>
  </si>
  <si>
    <t>Delivery to the new buyer</t>
  </si>
  <si>
    <t>LMSC → buyer's LMDC → last mile</t>
  </si>
  <si>
    <t>₹0 extra. It is the new order's normal delivery, paid for like any order (it even skips first-mile pickup and line-haul).</t>
  </si>
  <si>
    <t>Re-listing &amp; marketing</t>
  </si>
  <si>
    <t>Finding a buyer for the product</t>
  </si>
  <si>
    <t>₹0. The product is already listed on Meesho and is matched to an order a buyer has already placed. No ad spend, no discount: it is unopened and sells as new.</t>
  </si>
  <si>
    <t>Racks, power &amp; security</t>
  </si>
  <si>
    <t>Shelving, electricity, CCTV, guards</t>
  </si>
  <si>
    <t>₹0 extra. Existing LMDC overheads; LMDCs already keep RTOs for a few days while they wait for reverse pickup.</t>
  </si>
  <si>
    <t>TOTAL HOLDING COST PER PRODUCT</t>
  </si>
  <si>
    <t>INPUTS USED ABOVE</t>
  </si>
  <si>
    <t>Storage rate per product per 30 days</t>
  </si>
  <si>
    <t>Benchmark range (see row 5)</t>
  </si>
  <si>
    <t>₹9–10 per 30 days ⇒ ₹0.30–0.33 per day.</t>
  </si>
  <si>
    <t>Target range for holding cost</t>
  </si>
  <si>
    <t>Per product, 21-day hold</t>
  </si>
  <si>
    <t>Used only for the ✓ check on the total.</t>
  </si>
  <si>
    <t>SOURCES</t>
  </si>
  <si>
    <t>Meesho DICE Challenge 3.0 case pack</t>
  </si>
  <si>
    <t>Forward ₹50 and reverse ₹120 per RTO</t>
  </si>
  <si>
    <t>Case pack provided to participants</t>
  </si>
  <si>
    <t>TheEcomWay · Amazon FBA fees in India (2025)</t>
  </si>
  <si>
    <t>Storage ₹45–53 per cu ft per month; pick &amp; pack ≈ ₹14–17 per unit</t>
  </si>
  <si>
    <t>https://www.theecomway.com/blog/amazon-fba-fees-india-guide</t>
  </si>
  <si>
    <t>Business Standard · Vestian report, 8 Aug 2025</t>
  </si>
  <si>
    <t>Delhi-NCR warehouse rent ₹21 per sq ft per month</t>
  </si>
  <si>
    <t>https://www.business-standard.com/industry/news/delhi-ncr-sees-10-fall-in-rentals-of-warehousing-in-jan-jun-vestian-125080800989_1.html</t>
  </si>
  <si>
    <t>ClearTax · Delhi minimum wages (from 1 Apr 2026)</t>
  </si>
  <si>
    <t>Semi-skilled worker ₹20,371 per month</t>
  </si>
  <si>
    <t>https://cleartax.in/s/minimum-wages-in-delhi</t>
  </si>
  <si>
    <t>IndiaMART · 4×6 direct-thermal label</t>
  </si>
  <si>
    <t>₹0.60 per label</t>
  </si>
  <si>
    <t>https://m.indiamart.com/proddetail/4-inch-x-6-inch-direct-thermal-shipping-label-22619895888.html</t>
  </si>
  <si>
    <t>Flipkart · tamper-proof courier bags (pack of 100)</t>
  </si>
  <si>
    <t>₹363 per pack ⇒ ₹3.63 per bag</t>
  </si>
  <si>
    <t>https://www.flipkart.com/piyush-courier-bags-poly-envlope-shipping-packing-mailing-microns-bag-10x12-tamper-proof-bags-pod-envelopes-pouches-cover-polybags-shipping-packing-mailing-10x12-courierbags10x12-white-black-pack-100/p/itmd849f7d3a2ea8</t>
  </si>
  <si>
    <t>Policybazaar · Bharat Sookshma Udyam Suraksha</t>
  </si>
  <si>
    <t>₹50 lakh stock cover from ₹283 per month ≈ 0.07% a year</t>
  </si>
  <si>
    <t>https://www.policybazaar.com/corporate-insurance/articles/bharat-sookshma-udyam-suraksha-insurance-policy/</t>
  </si>
  <si>
    <t>VALMO-SAVE · BREAKEVEN FOR A 21-DAY HOLD (per 100 held products)</t>
  </si>
  <si>
    <t>1 · INPUTS</t>
  </si>
  <si>
    <t>Parameter</t>
  </si>
  <si>
    <t>Value</t>
  </si>
  <si>
    <t>Unit</t>
  </si>
  <si>
    <t>Note</t>
  </si>
  <si>
    <t>Products held at the LMDC</t>
  </si>
  <si>
    <t>products</t>
  </si>
  <si>
    <t>Breakeven is shown per 100 held RTO products</t>
  </si>
  <si>
    <t>Maximum holding period</t>
  </si>
  <si>
    <t>days</t>
  </si>
  <si>
    <t>Unsold products go back to the seller after 21 days</t>
  </si>
  <si>
    <t>Forward delivery cost</t>
  </si>
  <si>
    <t>₹/product</t>
  </si>
  <si>
    <t>Meesho case pack; already spent in every case</t>
  </si>
  <si>
    <t>Reverse logistics cost</t>
  </si>
  <si>
    <t>Meesho case pack; saved whenever a held product resells</t>
  </si>
  <si>
    <t>Status quo cost of one RTO</t>
  </si>
  <si>
    <t>Forward + reverse (return at once)</t>
  </si>
  <si>
    <t>Holding cost per product · low case</t>
  </si>
  <si>
    <t>From the Holding_Cost_21D tab</t>
  </si>
  <si>
    <t>Holding cost per product · high case</t>
  </si>
  <si>
    <t>Previous model's holding cost (30-day hold)</t>
  </si>
  <si>
    <t>R1 model, for comparison only</t>
  </si>
  <si>
    <t>2 · COST OF ONE PRODUCT UNDER EACH OUTCOME</t>
  </si>
  <si>
    <t>Outcome</t>
  </si>
  <si>
    <t>How it's calculated</t>
  </si>
  <si>
    <t>Return at once (status quo)</t>
  </si>
  <si>
    <t>Forward + reverse</t>
  </si>
  <si>
    <t>Held and resold within 21 days</t>
  </si>
  <si>
    <t>Forward + holding (no reverse trip)</t>
  </si>
  <si>
    <t>Held 21 days, not resold, then returned</t>
  </si>
  <si>
    <t>Forward + holding + reverse</t>
  </si>
  <si>
    <t>Saving on each product that resells</t>
  </si>
  <si>
    <t>Status quo − resold cost</t>
  </si>
  <si>
    <t>Extra cost on each product that does not</t>
  </si>
  <si>
    <t>Unsold cost − status quo (= the holding cost)</t>
  </si>
  <si>
    <t>3 · BREAKEVEN: HOW MANY OF THE 100 MUST RESELL?</t>
  </si>
  <si>
    <t>Measure</t>
  </si>
  <si>
    <t>Formula</t>
  </si>
  <si>
    <t>Products to resell to break even (exact)</t>
  </si>
  <si>
    <t>products × extra cost ÷ (saving + extra cost)</t>
  </si>
  <si>
    <t>Products to resell (whole products)</t>
  </si>
  <si>
    <t>rounded up</t>
  </si>
  <si>
    <t>Breakeven resale rate</t>
  </si>
  <si>
    <t>share of held products that must resell</t>
  </si>
  <si>
    <t>Products that can stay unsold</t>
  </si>
  <si>
    <t>products − products to resell</t>
  </si>
  <si>
    <t>4 · BREAKEVEN TABLE (out of the held products above)</t>
  </si>
  <si>
    <t>Products resold</t>
  </si>
  <si>
    <t>Not resold</t>
  </si>
  <si>
    <t>Status quo cost (₹)</t>
  </si>
  <si>
    <t>Red = holding costs more than returning at once · Green = holding saves money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</si>
</sst>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₹#,##0.00;&quot;(₹&quot;#,##0.00\);&quot;₹0.00&quot;"/>
    <numFmt numFmtId="165" formatCode="0.0"/>
    <numFmt numFmtId="166" formatCode="0.0%"/>
    <numFmt numFmtId="167" formatCode="0&quot; products&quot;"/>
    <numFmt numFmtId="168" formatCode="\₹#,##0;&quot;(₹&quot;#,##0\);&quot;₹0&quot;"/>
  </numFmts>
  <fonts count="16">
    <font>
      <sz val="11.0"/>
      <color theme="1"/>
      <name val="Calibri"/>
      <scheme val="minor"/>
    </font>
    <font>
      <b/>
      <sz val="15.0"/>
      <color rgb="FFFFFFFF"/>
      <name val="Arial"/>
    </font>
    <font>
      <sz val="11.0"/>
      <color theme="1"/>
      <name val="Calibri"/>
    </font>
    <font>
      <b/>
      <sz val="9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0.0"/>
      <color theme="1"/>
      <name val="Calibri"/>
      <scheme val="minor"/>
    </font>
    <font>
      <b/>
      <sz val="11.0"/>
      <color rgb="FF6D1045"/>
      <name val="Arial"/>
    </font>
    <font>
      <b/>
      <i/>
      <sz val="10.0"/>
      <color rgb="FF000000"/>
      <name val="Arial"/>
    </font>
    <font>
      <sz val="10.0"/>
      <color theme="1"/>
      <name val="Calibri"/>
    </font>
    <font>
      <u/>
      <sz val="10.0"/>
      <color rgb="FF0000FF"/>
      <name val="Arial"/>
    </font>
    <font>
      <u/>
      <sz val="10.0"/>
      <color rgb="FF0000FF"/>
      <name val="Arial"/>
    </font>
    <font/>
    <font>
      <b/>
      <sz val="10.0"/>
      <color rgb="FFFFFFFF"/>
      <name val="Arial"/>
    </font>
    <font>
      <i/>
      <sz val="10.0"/>
      <color rgb="FF000000"/>
      <name val="Arial"/>
    </font>
    <font>
      <i/>
      <sz val="9.0"/>
      <color rgb="FF5A3A4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6D1045"/>
        <bgColor rgb="FF6D1045"/>
      </patternFill>
    </fill>
    <fill>
      <patternFill patternType="solid">
        <fgColor rgb="FFFDEDF8"/>
        <bgColor rgb="FFFDEDF8"/>
      </patternFill>
    </fill>
    <fill>
      <patternFill patternType="solid">
        <fgColor rgb="FFF9D1EA"/>
        <bgColor rgb="FFF9D1EA"/>
      </patternFill>
    </fill>
    <fill>
      <patternFill patternType="solid">
        <fgColor rgb="FFFFF59D"/>
        <bgColor rgb="FFFFF59D"/>
      </patternFill>
    </fill>
    <fill>
      <patternFill patternType="solid">
        <fgColor rgb="FFFFFFFF"/>
        <bgColor rgb="FFFFFFFF"/>
      </patternFill>
    </fill>
  </fills>
  <borders count="9">
    <border/>
    <border>
      <left/>
      <right/>
      <top/>
      <bottom/>
    </border>
    <border>
      <left style="thin">
        <color rgb="FFD9C2CF"/>
      </left>
      <right style="thin">
        <color rgb="FFD9C2CF"/>
      </right>
      <top style="thin">
        <color rgb="FFD9C2CF"/>
      </top>
      <bottom style="thin">
        <color rgb="FFD9C2C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9C2CF"/>
      </left>
      <top style="thin">
        <color rgb="FFD9C2CF"/>
      </top>
      <bottom style="thin">
        <color rgb="FFD9C2CF"/>
      </bottom>
    </border>
    <border>
      <top style="thin">
        <color rgb="FFD9C2CF"/>
      </top>
      <bottom style="thin">
        <color rgb="FFD9C2CF"/>
      </bottom>
    </border>
    <border>
      <right style="thin">
        <color rgb="FFD9C2CF"/>
      </right>
      <top style="thin">
        <color rgb="FFD9C2CF"/>
      </top>
      <bottom style="thin">
        <color rgb="FFD9C2C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1" fillId="2" fontId="2" numFmtId="0" xfId="0" applyAlignment="1" applyBorder="1" applyFill="1" applyFont="1">
      <alignment shrinkToFit="0" vertical="bottom" wrapText="0"/>
    </xf>
    <xf borderId="2" fillId="2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shrinkToFit="0" vertical="center" wrapText="1"/>
    </xf>
    <xf borderId="2" fillId="0" fontId="4" numFmtId="164" xfId="0" applyAlignment="1" applyBorder="1" applyFont="1" applyNumberFormat="1">
      <alignment horizontal="right" shrinkToFit="0" vertical="center" wrapText="0"/>
    </xf>
    <xf borderId="0" fillId="0" fontId="6" numFmtId="0" xfId="0" applyFont="1"/>
    <xf borderId="1" fillId="3" fontId="7" numFmtId="0" xfId="0" applyAlignment="1" applyBorder="1" applyFill="1" applyFont="1">
      <alignment shrinkToFit="0" vertical="center" wrapText="0"/>
    </xf>
    <xf borderId="1" fillId="3" fontId="2" numFmtId="0" xfId="0" applyAlignment="1" applyBorder="1" applyFill="1" applyFont="1">
      <alignment shrinkToFit="0" vertical="bottom" wrapText="0"/>
    </xf>
    <xf borderId="2" fillId="4" fontId="4" numFmtId="0" xfId="0" applyAlignment="1" applyBorder="1" applyFill="1" applyFont="1">
      <alignment shrinkToFit="0" vertical="center" wrapText="0"/>
    </xf>
    <xf borderId="2" fillId="4" fontId="5" numFmtId="0" xfId="0" applyAlignment="1" applyBorder="1" applyFill="1" applyFont="1">
      <alignment shrinkToFit="0" vertical="center" wrapText="0"/>
    </xf>
    <xf borderId="2" fillId="4" fontId="8" numFmtId="0" xfId="0" applyAlignment="1" applyBorder="1" applyFill="1" applyFont="1">
      <alignment shrinkToFit="0" vertical="center" wrapText="0"/>
    </xf>
    <xf borderId="2" fillId="5" fontId="5" numFmtId="164" xfId="0" applyAlignment="1" applyBorder="1" applyFill="1" applyFont="1" applyNumberFormat="1">
      <alignment horizontal="right" shrinkToFit="0" vertical="center" wrapText="0"/>
    </xf>
    <xf borderId="1" fillId="4" fontId="7" numFmtId="0" xfId="0" applyAlignment="1" applyBorder="1" applyFill="1" applyFont="1">
      <alignment shrinkToFit="0" vertical="center" wrapText="0"/>
    </xf>
    <xf borderId="1" fillId="4" fontId="2" numFmtId="0" xfId="0" applyAlignment="1" applyBorder="1" applyFill="1" applyFont="1">
      <alignment shrinkToFit="0" vertical="bottom" wrapText="0"/>
    </xf>
    <xf borderId="2" fillId="0" fontId="4" numFmtId="0" xfId="0" applyAlignment="1" applyBorder="1" applyFont="1">
      <alignment shrinkToFit="0" vertical="center" wrapText="0"/>
    </xf>
    <xf borderId="2" fillId="0" fontId="5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bottom" wrapText="0"/>
    </xf>
    <xf borderId="2" fillId="0" fontId="10" numFmtId="0" xfId="0" applyAlignment="1" applyBorder="1" applyFont="1">
      <alignment readingOrder="0" shrinkToFit="0" vertical="center" wrapText="1"/>
    </xf>
    <xf borderId="2" fillId="0" fontId="11" numFmtId="0" xfId="0" applyAlignment="1" applyBorder="1" applyFont="1">
      <alignment shrinkToFit="0" vertical="center" wrapText="1"/>
    </xf>
    <xf borderId="3" fillId="5" fontId="7" numFmtId="0" xfId="0" applyAlignment="1" applyBorder="1" applyFill="1" applyFont="1">
      <alignment shrinkToFit="0" vertical="center" wrapText="0"/>
    </xf>
    <xf borderId="4" fillId="0" fontId="12" numFmtId="0" xfId="0" applyBorder="1" applyFont="1"/>
    <xf borderId="5" fillId="0" fontId="12" numFmtId="0" xfId="0" applyBorder="1" applyFont="1"/>
    <xf borderId="2" fillId="2" fontId="13" numFmtId="0" xfId="0" applyAlignment="1" applyBorder="1" applyFill="1" applyFont="1">
      <alignment horizontal="center" shrinkToFit="0" vertical="center" wrapText="1"/>
    </xf>
    <xf borderId="6" fillId="2" fontId="13" numFmtId="0" xfId="0" applyAlignment="1" applyBorder="1" applyFill="1" applyFont="1">
      <alignment horizontal="center" shrinkToFit="0" vertical="center" wrapText="1"/>
    </xf>
    <xf borderId="7" fillId="0" fontId="12" numFmtId="0" xfId="0" applyBorder="1" applyFont="1"/>
    <xf borderId="8" fillId="0" fontId="12" numFmtId="0" xfId="0" applyBorder="1" applyFont="1"/>
    <xf borderId="2" fillId="6" fontId="5" numFmtId="3" xfId="0" applyAlignment="1" applyBorder="1" applyFill="1" applyFont="1" applyNumberFormat="1">
      <alignment horizontal="right" shrinkToFit="0" vertical="center" wrapText="0"/>
    </xf>
    <xf borderId="6" fillId="0" fontId="4" numFmtId="0" xfId="0" applyAlignment="1" applyBorder="1" applyFont="1">
      <alignment shrinkToFit="0" vertical="center" wrapText="0"/>
    </xf>
    <xf borderId="2" fillId="6" fontId="5" numFmtId="1" xfId="0" applyAlignment="1" applyBorder="1" applyFill="1" applyFont="1" applyNumberFormat="1">
      <alignment horizontal="right" shrinkToFit="0" vertical="center" wrapText="0"/>
    </xf>
    <xf borderId="2" fillId="0" fontId="5" numFmtId="164" xfId="0" applyAlignment="1" applyBorder="1" applyFont="1" applyNumberFormat="1">
      <alignment horizontal="right" shrinkToFit="0" vertical="center" wrapText="0"/>
    </xf>
    <xf borderId="2" fillId="3" fontId="5" numFmtId="165" xfId="0" applyAlignment="1" applyBorder="1" applyFill="1" applyFont="1" applyNumberFormat="1">
      <alignment horizontal="right" shrinkToFit="0" vertical="center" wrapText="0"/>
    </xf>
    <xf borderId="2" fillId="3" fontId="5" numFmtId="1" xfId="0" applyAlignment="1" applyBorder="1" applyFill="1" applyFont="1" applyNumberFormat="1">
      <alignment horizontal="right" shrinkToFit="0" vertical="center" wrapText="0"/>
    </xf>
    <xf borderId="2" fillId="0" fontId="4" numFmtId="166" xfId="0" applyAlignment="1" applyBorder="1" applyFont="1" applyNumberFormat="1">
      <alignment horizontal="right" shrinkToFit="0" vertical="center" wrapText="0"/>
    </xf>
    <xf borderId="2" fillId="0" fontId="4" numFmtId="1" xfId="0" applyAlignment="1" applyBorder="1" applyFont="1" applyNumberFormat="1">
      <alignment horizontal="right" shrinkToFit="0" vertical="center" wrapText="0"/>
    </xf>
    <xf borderId="2" fillId="0" fontId="14" numFmtId="0" xfId="0" applyAlignment="1" applyBorder="1" applyFont="1">
      <alignment shrinkToFit="0" vertical="center" wrapText="0"/>
    </xf>
    <xf borderId="2" fillId="0" fontId="14" numFmtId="165" xfId="0" applyAlignment="1" applyBorder="1" applyFont="1" applyNumberFormat="1">
      <alignment horizontal="right" shrinkToFit="0" vertical="center" wrapText="0"/>
    </xf>
    <xf borderId="2" fillId="0" fontId="14" numFmtId="167" xfId="0" applyAlignment="1" applyBorder="1" applyFont="1" applyNumberFormat="1">
      <alignment horizontal="right" shrinkToFit="0" vertical="center" wrapText="0"/>
    </xf>
    <xf borderId="2" fillId="0" fontId="5" numFmtId="1" xfId="0" applyAlignment="1" applyBorder="1" applyFont="1" applyNumberFormat="1">
      <alignment horizontal="center" shrinkToFit="0" vertical="center" wrapText="0"/>
    </xf>
    <xf borderId="2" fillId="0" fontId="4" numFmtId="1" xfId="0" applyAlignment="1" applyBorder="1" applyFont="1" applyNumberFormat="1">
      <alignment horizontal="center" shrinkToFit="0" vertical="center" wrapText="0"/>
    </xf>
    <xf borderId="2" fillId="0" fontId="4" numFmtId="168" xfId="0" applyAlignment="1" applyBorder="1" applyFont="1" applyNumberFormat="1">
      <alignment shrinkToFit="0" vertical="center" wrapText="0"/>
    </xf>
    <xf borderId="0" fillId="0" fontId="15" numFmtId="0" xfId="0" applyAlignment="1" applyFont="1">
      <alignment shrinkToFit="0" vertical="center" wrapText="0"/>
    </xf>
  </cellXfs>
  <cellStyles count="1">
    <cellStyle xfId="0" name="Normal" builtinId="0"/>
  </cellStyles>
  <dxfs count="2">
    <dxf>
      <font>
        <color rgb="FFC00000"/>
        <name val="Arial"/>
      </font>
      <fill>
        <patternFill patternType="none"/>
      </fill>
      <border/>
    </dxf>
    <dxf>
      <font>
        <b/>
        <color rgb="FF1A7F37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Total cost of the held products vs products resold</a:t>
            </a:r>
          </a:p>
        </c:rich>
      </c:tx>
      <c:overlay val="0"/>
    </c:title>
    <c:plotArea>
      <c:layout/>
      <c:lineChart>
        <c:ser>
          <c:idx val="0"/>
          <c:order val="0"/>
          <c:tx>
            <c:v>Status quo cost (₹)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Breakeven!$B$32:$B$52</c:f>
            </c:strRef>
          </c:cat>
          <c:val>
            <c:numRef>
              <c:f>Breakeven!$D$32:$D$52</c:f>
              <c:numCache/>
            </c:numRef>
          </c:val>
          <c:smooth val="0"/>
        </c:ser>
        <c:ser>
          <c:idx val="1"/>
          <c:order val="1"/>
          <c:tx>
            <c:v>Valmo-SAVE cost @ ₹30</c:v>
          </c:tx>
          <c:spPr>
            <a:ln cmpd="sng" w="19050">
              <a:solidFill>
                <a:srgbClr val="6D104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Breakeven!$B$32:$B$52</c:f>
            </c:strRef>
          </c:cat>
          <c:val>
            <c:numRef>
              <c:f>Breakeven!$E$32:$E$52</c:f>
              <c:numCache/>
            </c:numRef>
          </c:val>
          <c:smooth val="0"/>
        </c:ser>
        <c:ser>
          <c:idx val="2"/>
          <c:order val="2"/>
          <c:tx>
            <c:v>Valmo-SAVE cost @ ₹33</c:v>
          </c:tx>
          <c:spPr>
            <a:ln cmpd="sng" w="19050">
              <a:solidFill>
                <a:srgbClr val="C6469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Breakeven!$B$32:$B$52</c:f>
            </c:strRef>
          </c:cat>
          <c:val>
            <c:numRef>
              <c:f>Breakeven!$G$32:$G$52</c:f>
              <c:numCache/>
            </c:numRef>
          </c:val>
          <c:smooth val="0"/>
        </c:ser>
        <c:axId val="1802559261"/>
        <c:axId val="430007236"/>
      </c:lineChart>
      <c:catAx>
        <c:axId val="18025592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Products resold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30007236"/>
      </c:catAx>
      <c:valAx>
        <c:axId val="430007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</c:title>
        <c:numFmt formatCode="\₹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02559261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Saving vs products resold (below ₹0 = loss)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Saving @ ₹30</c:v>
          </c:tx>
          <c:spPr>
            <a:solidFill>
              <a:srgbClr val="6D1045"/>
            </a:solidFill>
            <a:ln cmpd="sng">
              <a:noFill/>
            </a:ln>
          </c:spPr>
          <c:invertIfNegative val="0"/>
          <c:cat>
            <c:strRef>
              <c:f>Breakeven!$B$32:$B$52</c:f>
            </c:strRef>
          </c:cat>
          <c:val>
            <c:numRef>
              <c:f>Breakeven!$F$32:$F$52</c:f>
              <c:numCache/>
            </c:numRef>
          </c:val>
        </c:ser>
        <c:ser>
          <c:idx val="1"/>
          <c:order val="1"/>
          <c:tx>
            <c:v>Saving @ ₹33</c:v>
          </c:tx>
          <c:spPr>
            <a:solidFill>
              <a:srgbClr val="D6AE55"/>
            </a:solidFill>
            <a:ln cmpd="sng">
              <a:noFill/>
            </a:ln>
          </c:spPr>
          <c:invertIfNegative val="0"/>
          <c:cat>
            <c:strRef>
              <c:f>Breakeven!$B$32:$B$52</c:f>
            </c:strRef>
          </c:cat>
          <c:val>
            <c:numRef>
              <c:f>Breakeven!$H$32:$H$52</c:f>
              <c:numCache/>
            </c:numRef>
          </c:val>
        </c:ser>
        <c:axId val="730789716"/>
        <c:axId val="829449499"/>
      </c:barChart>
      <c:catAx>
        <c:axId val="730789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Products resold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29449499"/>
      </c:catAx>
      <c:valAx>
        <c:axId val="829449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\₹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30789716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</xdr:row>
      <xdr:rowOff>0</xdr:rowOff>
    </xdr:from>
    <xdr:ext cx="5810250" cy="3343275"/>
    <xdr:graphicFrame>
      <xdr:nvGraphicFramePr>
        <xdr:cNvPr id="7860258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21</xdr:row>
      <xdr:rowOff>0</xdr:rowOff>
    </xdr:from>
    <xdr:ext cx="5810250" cy="3333750"/>
    <xdr:graphicFrame>
      <xdr:nvGraphicFramePr>
        <xdr:cNvPr id="74330860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-0VveCs9bBZ8_vmRkjEeg92eamm1-0bP/view?usp=sharing" TargetMode="External"/><Relationship Id="rId2" Type="http://schemas.openxmlformats.org/officeDocument/2006/relationships/hyperlink" Target="https://www.theecomway.com/blog/amazon-fba-fees-india-guide" TargetMode="External"/><Relationship Id="rId3" Type="http://schemas.openxmlformats.org/officeDocument/2006/relationships/hyperlink" Target="https://www.business-standard.com/industry/news/delhi-ncr-sees-10-fall-in-rentals-of-warehousing-in-jan-jun-vestian-125080800989_1.html" TargetMode="External"/><Relationship Id="rId4" Type="http://schemas.openxmlformats.org/officeDocument/2006/relationships/hyperlink" Target="https://cleartax.in/s/minimum-wages-in-delhi" TargetMode="External"/><Relationship Id="rId5" Type="http://schemas.openxmlformats.org/officeDocument/2006/relationships/hyperlink" Target="https://m.indiamart.com/proddetail/4-inch-x-6-inch-direct-thermal-shipping-label-22619895888.html" TargetMode="External"/><Relationship Id="rId6" Type="http://schemas.openxmlformats.org/officeDocument/2006/relationships/hyperlink" Target="https://www.flipkart.com/piyush-courier-bags-poly-envlope-shipping-packing-mailing-microns-bag-10x12-tamper-proof-bags-pod-envelopes-pouches-cover-polybags-shipping-packing-mailing-10x12-courierbags10x12-white-black-pack-100/p/itmd849f7d3a2ea8" TargetMode="External"/><Relationship Id="rId7" Type="http://schemas.openxmlformats.org/officeDocument/2006/relationships/hyperlink" Target="https://www.policybazaar.com/corporate-insurance/articles/bharat-sookshma-udyam-suraksha-insurance-policy/" TargetMode="External"/><Relationship Id="rId8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0"/>
    <col customWidth="1" min="2" max="2" width="46.0"/>
    <col customWidth="1" min="3" max="7" width="15.0"/>
    <col customWidth="1" min="8" max="8" width="22.0"/>
    <col customWidth="1" min="9" max="26" width="8.71"/>
  </cols>
  <sheetData>
    <row r="1" ht="30.0" customHeight="1">
      <c r="A1" s="1" t="s">
        <v>65</v>
      </c>
      <c r="B1" s="2"/>
      <c r="C1" s="2"/>
      <c r="D1" s="2"/>
      <c r="E1" s="2"/>
      <c r="F1" s="2"/>
      <c r="G1" s="2"/>
      <c r="H1" s="2"/>
    </row>
    <row r="2" ht="24.0" customHeight="1">
      <c r="A2" s="22" t="str">
        <f>"Answer: Out of every "&amp;C5&amp;" products held for up to "&amp;C6&amp;" days, at least "&amp;C25&amp;" (holding ₹"&amp;TEXT(C10,"0")&amp;") to "&amp;D25&amp;" (holding ₹"&amp;TEXT(C11,"0")&amp;") must be resold to break even."</f>
        <v>Answer: Out of every 100 products held for up to 21 days, at least 25 (holding ₹30) to 28 (holding ₹33) must be resold to break even.</v>
      </c>
      <c r="B2" s="23"/>
      <c r="C2" s="23"/>
      <c r="D2" s="23"/>
      <c r="E2" s="23"/>
      <c r="F2" s="23"/>
      <c r="G2" s="23"/>
      <c r="H2" s="24"/>
    </row>
    <row r="3" ht="19.5" customHeight="1">
      <c r="A3" s="15" t="s">
        <v>66</v>
      </c>
      <c r="B3" s="16"/>
      <c r="C3" s="16"/>
      <c r="D3" s="16"/>
      <c r="E3" s="16"/>
      <c r="F3" s="16"/>
      <c r="G3" s="16"/>
      <c r="H3" s="16"/>
    </row>
    <row r="4" ht="19.5" customHeight="1">
      <c r="A4" s="3"/>
      <c r="B4" s="25" t="s">
        <v>67</v>
      </c>
      <c r="C4" s="25" t="s">
        <v>68</v>
      </c>
      <c r="D4" s="25" t="s">
        <v>69</v>
      </c>
      <c r="E4" s="26" t="s">
        <v>70</v>
      </c>
      <c r="F4" s="27"/>
      <c r="G4" s="27"/>
      <c r="H4" s="28"/>
    </row>
    <row r="5">
      <c r="B5" s="5" t="s">
        <v>71</v>
      </c>
      <c r="C5" s="29">
        <v>100.0</v>
      </c>
      <c r="D5" s="17" t="s">
        <v>72</v>
      </c>
      <c r="E5" s="30" t="s">
        <v>73</v>
      </c>
      <c r="F5" s="27"/>
      <c r="G5" s="27"/>
      <c r="H5" s="28"/>
    </row>
    <row r="6">
      <c r="B6" s="5" t="s">
        <v>74</v>
      </c>
      <c r="C6" s="31">
        <v>21.0</v>
      </c>
      <c r="D6" s="17" t="s">
        <v>75</v>
      </c>
      <c r="E6" s="30" t="s">
        <v>76</v>
      </c>
      <c r="F6" s="27"/>
      <c r="G6" s="27"/>
      <c r="H6" s="28"/>
    </row>
    <row r="7">
      <c r="B7" s="17" t="s">
        <v>77</v>
      </c>
      <c r="C7" s="7">
        <v>50.0</v>
      </c>
      <c r="D7" s="17" t="s">
        <v>78</v>
      </c>
      <c r="E7" s="30" t="s">
        <v>79</v>
      </c>
      <c r="F7" s="27"/>
      <c r="G7" s="27"/>
      <c r="H7" s="28"/>
    </row>
    <row r="8">
      <c r="B8" s="17" t="s">
        <v>80</v>
      </c>
      <c r="C8" s="7">
        <v>120.0</v>
      </c>
      <c r="D8" s="17" t="s">
        <v>78</v>
      </c>
      <c r="E8" s="30" t="s">
        <v>81</v>
      </c>
      <c r="F8" s="27"/>
      <c r="G8" s="27"/>
      <c r="H8" s="28"/>
    </row>
    <row r="9">
      <c r="B9" s="17" t="s">
        <v>82</v>
      </c>
      <c r="C9" s="7">
        <f>C7+C8</f>
        <v>170</v>
      </c>
      <c r="D9" s="17" t="s">
        <v>78</v>
      </c>
      <c r="E9" s="30" t="s">
        <v>83</v>
      </c>
      <c r="F9" s="27"/>
      <c r="G9" s="27"/>
      <c r="H9" s="28"/>
    </row>
    <row r="10">
      <c r="B10" s="5" t="s">
        <v>84</v>
      </c>
      <c r="C10" s="32">
        <f>Holding_Cost_21D!D14</f>
        <v>30</v>
      </c>
      <c r="D10" s="17" t="s">
        <v>78</v>
      </c>
      <c r="E10" s="30" t="s">
        <v>85</v>
      </c>
      <c r="F10" s="27"/>
      <c r="G10" s="27"/>
      <c r="H10" s="28"/>
    </row>
    <row r="11">
      <c r="B11" s="5" t="s">
        <v>86</v>
      </c>
      <c r="C11" s="32">
        <f>Holding_Cost_21D!E14</f>
        <v>33</v>
      </c>
      <c r="D11" s="17" t="s">
        <v>78</v>
      </c>
      <c r="E11" s="30" t="s">
        <v>85</v>
      </c>
      <c r="F11" s="27"/>
      <c r="G11" s="27"/>
      <c r="H11" s="28"/>
    </row>
    <row r="12">
      <c r="B12" s="17" t="s">
        <v>87</v>
      </c>
      <c r="C12" s="7">
        <v>35.0</v>
      </c>
      <c r="D12" s="17" t="s">
        <v>78</v>
      </c>
      <c r="E12" s="30" t="s">
        <v>88</v>
      </c>
      <c r="F12" s="27"/>
      <c r="G12" s="27"/>
      <c r="H12" s="28"/>
    </row>
    <row r="14" ht="19.5" customHeight="1">
      <c r="A14" s="15" t="s">
        <v>89</v>
      </c>
      <c r="B14" s="16"/>
      <c r="C14" s="16"/>
      <c r="D14" s="16"/>
      <c r="E14" s="16"/>
      <c r="F14" s="16"/>
      <c r="G14" s="16"/>
      <c r="H14" s="16"/>
    </row>
    <row r="15" ht="24.0" customHeight="1">
      <c r="A15" s="3"/>
      <c r="B15" s="25" t="s">
        <v>90</v>
      </c>
      <c r="C15" s="25" t="str">
        <f>"Holding ₹"&amp;TEXT(C10,"0.00")</f>
        <v>Holding ₹30.00</v>
      </c>
      <c r="D15" s="25" t="str">
        <f>"Holding ₹"&amp;TEXT(C11,"0.00")</f>
        <v>Holding ₹33.00</v>
      </c>
      <c r="E15" s="26" t="s">
        <v>91</v>
      </c>
      <c r="F15" s="27"/>
      <c r="G15" s="27"/>
      <c r="H15" s="28"/>
    </row>
    <row r="16">
      <c r="B16" s="17" t="s">
        <v>92</v>
      </c>
      <c r="C16" s="7">
        <f t="shared" ref="C16:D16" si="1">$C$9</f>
        <v>170</v>
      </c>
      <c r="D16" s="7">
        <f t="shared" si="1"/>
        <v>170</v>
      </c>
      <c r="E16" s="30" t="s">
        <v>93</v>
      </c>
      <c r="F16" s="27"/>
      <c r="G16" s="27"/>
      <c r="H16" s="28"/>
    </row>
    <row r="17">
      <c r="B17" s="17" t="s">
        <v>94</v>
      </c>
      <c r="C17" s="7">
        <f>$C$7+$C$10</f>
        <v>80</v>
      </c>
      <c r="D17" s="7">
        <f>$C$7+$C$11</f>
        <v>83</v>
      </c>
      <c r="E17" s="30" t="s">
        <v>95</v>
      </c>
      <c r="F17" s="27"/>
      <c r="G17" s="27"/>
      <c r="H17" s="28"/>
    </row>
    <row r="18">
      <c r="B18" s="17" t="s">
        <v>96</v>
      </c>
      <c r="C18" s="7">
        <f>$C$7+$C$10+$C$8</f>
        <v>200</v>
      </c>
      <c r="D18" s="7">
        <f>$C$7+$C$11+$C$8</f>
        <v>203</v>
      </c>
      <c r="E18" s="30" t="s">
        <v>97</v>
      </c>
      <c r="F18" s="27"/>
      <c r="G18" s="27"/>
      <c r="H18" s="28"/>
    </row>
    <row r="19">
      <c r="B19" s="5" t="s">
        <v>98</v>
      </c>
      <c r="C19" s="32">
        <f t="shared" ref="C19:D19" si="2">C16-C17</f>
        <v>90</v>
      </c>
      <c r="D19" s="32">
        <f t="shared" si="2"/>
        <v>87</v>
      </c>
      <c r="E19" s="30" t="s">
        <v>99</v>
      </c>
      <c r="F19" s="27"/>
      <c r="G19" s="27"/>
      <c r="H19" s="28"/>
    </row>
    <row r="20" ht="15.75" customHeight="1">
      <c r="B20" s="5" t="s">
        <v>100</v>
      </c>
      <c r="C20" s="32">
        <f t="shared" ref="C20:D20" si="3">C18-C16</f>
        <v>30</v>
      </c>
      <c r="D20" s="32">
        <f t="shared" si="3"/>
        <v>33</v>
      </c>
      <c r="E20" s="30" t="s">
        <v>101</v>
      </c>
      <c r="F20" s="27"/>
      <c r="G20" s="27"/>
      <c r="H20" s="28"/>
    </row>
    <row r="21" ht="15.75" customHeight="1"/>
    <row r="22" ht="19.5" customHeight="1">
      <c r="A22" s="15" t="s">
        <v>102</v>
      </c>
      <c r="B22" s="16"/>
      <c r="C22" s="16"/>
      <c r="D22" s="16"/>
      <c r="E22" s="16"/>
      <c r="F22" s="16"/>
      <c r="G22" s="16"/>
      <c r="H22" s="16"/>
    </row>
    <row r="23" ht="24.0" customHeight="1">
      <c r="A23" s="3"/>
      <c r="B23" s="25" t="s">
        <v>103</v>
      </c>
      <c r="C23" s="25" t="str">
        <f>"Holding ₹"&amp;TEXT(C10,"0.00")</f>
        <v>Holding ₹30.00</v>
      </c>
      <c r="D23" s="25" t="str">
        <f>"Holding ₹"&amp;TEXT(C11,"0.00")</f>
        <v>Holding ₹33.00</v>
      </c>
      <c r="E23" s="26" t="s">
        <v>104</v>
      </c>
      <c r="F23" s="27"/>
      <c r="G23" s="27"/>
      <c r="H23" s="28"/>
    </row>
    <row r="24" ht="15.75" customHeight="1">
      <c r="B24" s="5" t="s">
        <v>105</v>
      </c>
      <c r="C24" s="33">
        <f t="shared" ref="C24:D24" si="4">$C$5*C20/(C19+C20)</f>
        <v>25</v>
      </c>
      <c r="D24" s="33">
        <f t="shared" si="4"/>
        <v>27.5</v>
      </c>
      <c r="E24" s="30" t="s">
        <v>106</v>
      </c>
      <c r="F24" s="27"/>
      <c r="G24" s="27"/>
      <c r="H24" s="28"/>
    </row>
    <row r="25" ht="15.75" customHeight="1">
      <c r="B25" s="5" t="s">
        <v>107</v>
      </c>
      <c r="C25" s="34">
        <f t="shared" ref="C25:D25" si="5">ROUNDUP(C24,0)</f>
        <v>25</v>
      </c>
      <c r="D25" s="34">
        <f t="shared" si="5"/>
        <v>28</v>
      </c>
      <c r="E25" s="30" t="s">
        <v>108</v>
      </c>
      <c r="F25" s="27"/>
      <c r="G25" s="27"/>
      <c r="H25" s="28"/>
    </row>
    <row r="26" ht="15.75" customHeight="1">
      <c r="B26" s="17" t="s">
        <v>109</v>
      </c>
      <c r="C26" s="35">
        <f t="shared" ref="C26:D26" si="6">C24/$C$5</f>
        <v>0.25</v>
      </c>
      <c r="D26" s="35">
        <f t="shared" si="6"/>
        <v>0.275</v>
      </c>
      <c r="E26" s="30" t="s">
        <v>110</v>
      </c>
      <c r="F26" s="27"/>
      <c r="G26" s="27"/>
      <c r="H26" s="28"/>
    </row>
    <row r="27" ht="15.75" customHeight="1">
      <c r="B27" s="17" t="s">
        <v>111</v>
      </c>
      <c r="C27" s="36">
        <f t="shared" ref="C27:D27" si="7">$C$5-C25</f>
        <v>75</v>
      </c>
      <c r="D27" s="36">
        <f t="shared" si="7"/>
        <v>72</v>
      </c>
      <c r="E27" s="30" t="s">
        <v>112</v>
      </c>
      <c r="F27" s="27"/>
      <c r="G27" s="27"/>
      <c r="H27" s="28"/>
    </row>
    <row r="28" ht="15.75" customHeight="1">
      <c r="B28" s="37" t="str">
        <f>"For comparison: previous 30-day model (₹"&amp;TEXT(C12,"0")&amp;" holding)"</f>
        <v>For comparison: previous 30-day model (₹35 holding)</v>
      </c>
      <c r="C28" s="38">
        <f>$C$5*C12/$C$8</f>
        <v>29.16666667</v>
      </c>
      <c r="D28" s="39">
        <f>ROUNDUP(C28,0)</f>
        <v>30</v>
      </c>
      <c r="E28" s="30" t="str">
        <f>"21 days cuts the breakeven by "&amp;(D28-D25)&amp;"–"&amp;(D28-C25)&amp;" products per 100"</f>
        <v>21 days cuts the breakeven by 2–5 products per 100</v>
      </c>
      <c r="F28" s="27"/>
      <c r="G28" s="27"/>
      <c r="H28" s="28"/>
    </row>
    <row r="29" ht="15.75" customHeight="1"/>
    <row r="30" ht="19.5" customHeight="1">
      <c r="A30" s="15" t="s">
        <v>113</v>
      </c>
      <c r="B30" s="16"/>
      <c r="C30" s="16"/>
      <c r="D30" s="16"/>
      <c r="E30" s="16"/>
      <c r="F30" s="16"/>
      <c r="G30" s="16"/>
      <c r="H30" s="16"/>
    </row>
    <row r="31" ht="31.5" customHeight="1">
      <c r="A31" s="3"/>
      <c r="B31" s="25" t="s">
        <v>114</v>
      </c>
      <c r="C31" s="25" t="s">
        <v>115</v>
      </c>
      <c r="D31" s="25" t="s">
        <v>116</v>
      </c>
      <c r="E31" s="25" t="str">
        <f>"Valmo-SAVE cost @ ₹"&amp;TEXT(C10,"0")</f>
        <v>Valmo-SAVE cost @ ₹30</v>
      </c>
      <c r="F31" s="25" t="str">
        <f>"Saving @ ₹"&amp;TEXT(C10,"0")</f>
        <v>Saving @ ₹30</v>
      </c>
      <c r="G31" s="25" t="str">
        <f>"Valmo-SAVE cost @ ₹"&amp;TEXT(C11,"0")</f>
        <v>Valmo-SAVE cost @ ₹33</v>
      </c>
      <c r="H31" s="25" t="str">
        <f>"Saving @ ₹"&amp;TEXT(C11,"0")</f>
        <v>Saving @ ₹33</v>
      </c>
    </row>
    <row r="32" ht="15.75" customHeight="1">
      <c r="B32" s="40">
        <f>0</f>
        <v>0</v>
      </c>
      <c r="C32" s="41">
        <f t="shared" ref="C32:C52" si="8">$C$5-B32</f>
        <v>100</v>
      </c>
      <c r="D32" s="42">
        <f t="shared" ref="D32:D52" si="9">$C$5*$C$9</f>
        <v>17000</v>
      </c>
      <c r="E32" s="42">
        <f t="shared" ref="E32:E52" si="10">B32*$C$17+C32*$C$18</f>
        <v>20000</v>
      </c>
      <c r="F32" s="42">
        <f t="shared" ref="F32:F52" si="11">D32-E32</f>
        <v>-3000</v>
      </c>
      <c r="G32" s="42">
        <f t="shared" ref="G32:G52" si="12">B32*$D$17+C32*$D$18</f>
        <v>20300</v>
      </c>
      <c r="H32" s="42">
        <f t="shared" ref="H32:H52" si="13">D32-G32</f>
        <v>-3300</v>
      </c>
    </row>
    <row r="33" ht="15.75" customHeight="1">
      <c r="B33" s="40">
        <f t="shared" ref="B33:B52" si="14">B32+$C$5/20</f>
        <v>5</v>
      </c>
      <c r="C33" s="41">
        <f t="shared" si="8"/>
        <v>95</v>
      </c>
      <c r="D33" s="42">
        <f t="shared" si="9"/>
        <v>17000</v>
      </c>
      <c r="E33" s="42">
        <f t="shared" si="10"/>
        <v>19400</v>
      </c>
      <c r="F33" s="42">
        <f t="shared" si="11"/>
        <v>-2400</v>
      </c>
      <c r="G33" s="42">
        <f t="shared" si="12"/>
        <v>19700</v>
      </c>
      <c r="H33" s="42">
        <f t="shared" si="13"/>
        <v>-2700</v>
      </c>
    </row>
    <row r="34" ht="15.75" customHeight="1">
      <c r="B34" s="40">
        <f t="shared" si="14"/>
        <v>10</v>
      </c>
      <c r="C34" s="41">
        <f t="shared" si="8"/>
        <v>90</v>
      </c>
      <c r="D34" s="42">
        <f t="shared" si="9"/>
        <v>17000</v>
      </c>
      <c r="E34" s="42">
        <f t="shared" si="10"/>
        <v>18800</v>
      </c>
      <c r="F34" s="42">
        <f t="shared" si="11"/>
        <v>-1800</v>
      </c>
      <c r="G34" s="42">
        <f t="shared" si="12"/>
        <v>19100</v>
      </c>
      <c r="H34" s="42">
        <f t="shared" si="13"/>
        <v>-2100</v>
      </c>
    </row>
    <row r="35" ht="15.75" customHeight="1">
      <c r="B35" s="40">
        <f t="shared" si="14"/>
        <v>15</v>
      </c>
      <c r="C35" s="41">
        <f t="shared" si="8"/>
        <v>85</v>
      </c>
      <c r="D35" s="42">
        <f t="shared" si="9"/>
        <v>17000</v>
      </c>
      <c r="E35" s="42">
        <f t="shared" si="10"/>
        <v>18200</v>
      </c>
      <c r="F35" s="42">
        <f t="shared" si="11"/>
        <v>-1200</v>
      </c>
      <c r="G35" s="42">
        <f t="shared" si="12"/>
        <v>18500</v>
      </c>
      <c r="H35" s="42">
        <f t="shared" si="13"/>
        <v>-1500</v>
      </c>
    </row>
    <row r="36" ht="15.75" customHeight="1">
      <c r="B36" s="40">
        <f t="shared" si="14"/>
        <v>20</v>
      </c>
      <c r="C36" s="41">
        <f t="shared" si="8"/>
        <v>80</v>
      </c>
      <c r="D36" s="42">
        <f t="shared" si="9"/>
        <v>17000</v>
      </c>
      <c r="E36" s="42">
        <f t="shared" si="10"/>
        <v>17600</v>
      </c>
      <c r="F36" s="42">
        <f t="shared" si="11"/>
        <v>-600</v>
      </c>
      <c r="G36" s="42">
        <f t="shared" si="12"/>
        <v>17900</v>
      </c>
      <c r="H36" s="42">
        <f t="shared" si="13"/>
        <v>-900</v>
      </c>
    </row>
    <row r="37" ht="15.75" customHeight="1">
      <c r="B37" s="40">
        <f t="shared" si="14"/>
        <v>25</v>
      </c>
      <c r="C37" s="41">
        <f t="shared" si="8"/>
        <v>75</v>
      </c>
      <c r="D37" s="42">
        <f t="shared" si="9"/>
        <v>17000</v>
      </c>
      <c r="E37" s="42">
        <f t="shared" si="10"/>
        <v>17000</v>
      </c>
      <c r="F37" s="42">
        <f t="shared" si="11"/>
        <v>0</v>
      </c>
      <c r="G37" s="42">
        <f t="shared" si="12"/>
        <v>17300</v>
      </c>
      <c r="H37" s="42">
        <f t="shared" si="13"/>
        <v>-300</v>
      </c>
    </row>
    <row r="38" ht="15.75" customHeight="1">
      <c r="B38" s="40">
        <f t="shared" si="14"/>
        <v>30</v>
      </c>
      <c r="C38" s="41">
        <f t="shared" si="8"/>
        <v>70</v>
      </c>
      <c r="D38" s="42">
        <f t="shared" si="9"/>
        <v>17000</v>
      </c>
      <c r="E38" s="42">
        <f t="shared" si="10"/>
        <v>16400</v>
      </c>
      <c r="F38" s="42">
        <f t="shared" si="11"/>
        <v>600</v>
      </c>
      <c r="G38" s="42">
        <f t="shared" si="12"/>
        <v>16700</v>
      </c>
      <c r="H38" s="42">
        <f t="shared" si="13"/>
        <v>300</v>
      </c>
    </row>
    <row r="39" ht="15.75" customHeight="1">
      <c r="B39" s="40">
        <f t="shared" si="14"/>
        <v>35</v>
      </c>
      <c r="C39" s="41">
        <f t="shared" si="8"/>
        <v>65</v>
      </c>
      <c r="D39" s="42">
        <f t="shared" si="9"/>
        <v>17000</v>
      </c>
      <c r="E39" s="42">
        <f t="shared" si="10"/>
        <v>15800</v>
      </c>
      <c r="F39" s="42">
        <f t="shared" si="11"/>
        <v>1200</v>
      </c>
      <c r="G39" s="42">
        <f t="shared" si="12"/>
        <v>16100</v>
      </c>
      <c r="H39" s="42">
        <f t="shared" si="13"/>
        <v>900</v>
      </c>
    </row>
    <row r="40" ht="15.75" customHeight="1">
      <c r="B40" s="40">
        <f t="shared" si="14"/>
        <v>40</v>
      </c>
      <c r="C40" s="41">
        <f t="shared" si="8"/>
        <v>60</v>
      </c>
      <c r="D40" s="42">
        <f t="shared" si="9"/>
        <v>17000</v>
      </c>
      <c r="E40" s="42">
        <f t="shared" si="10"/>
        <v>15200</v>
      </c>
      <c r="F40" s="42">
        <f t="shared" si="11"/>
        <v>1800</v>
      </c>
      <c r="G40" s="42">
        <f t="shared" si="12"/>
        <v>15500</v>
      </c>
      <c r="H40" s="42">
        <f t="shared" si="13"/>
        <v>1500</v>
      </c>
    </row>
    <row r="41" ht="15.75" customHeight="1">
      <c r="B41" s="40">
        <f t="shared" si="14"/>
        <v>45</v>
      </c>
      <c r="C41" s="41">
        <f t="shared" si="8"/>
        <v>55</v>
      </c>
      <c r="D41" s="42">
        <f t="shared" si="9"/>
        <v>17000</v>
      </c>
      <c r="E41" s="42">
        <f t="shared" si="10"/>
        <v>14600</v>
      </c>
      <c r="F41" s="42">
        <f t="shared" si="11"/>
        <v>2400</v>
      </c>
      <c r="G41" s="42">
        <f t="shared" si="12"/>
        <v>14900</v>
      </c>
      <c r="H41" s="42">
        <f t="shared" si="13"/>
        <v>2100</v>
      </c>
    </row>
    <row r="42" ht="15.75" customHeight="1">
      <c r="B42" s="40">
        <f t="shared" si="14"/>
        <v>50</v>
      </c>
      <c r="C42" s="41">
        <f t="shared" si="8"/>
        <v>50</v>
      </c>
      <c r="D42" s="42">
        <f t="shared" si="9"/>
        <v>17000</v>
      </c>
      <c r="E42" s="42">
        <f t="shared" si="10"/>
        <v>14000</v>
      </c>
      <c r="F42" s="42">
        <f t="shared" si="11"/>
        <v>3000</v>
      </c>
      <c r="G42" s="42">
        <f t="shared" si="12"/>
        <v>14300</v>
      </c>
      <c r="H42" s="42">
        <f t="shared" si="13"/>
        <v>2700</v>
      </c>
    </row>
    <row r="43" ht="15.75" customHeight="1">
      <c r="B43" s="40">
        <f t="shared" si="14"/>
        <v>55</v>
      </c>
      <c r="C43" s="41">
        <f t="shared" si="8"/>
        <v>45</v>
      </c>
      <c r="D43" s="42">
        <f t="shared" si="9"/>
        <v>17000</v>
      </c>
      <c r="E43" s="42">
        <f t="shared" si="10"/>
        <v>13400</v>
      </c>
      <c r="F43" s="42">
        <f t="shared" si="11"/>
        <v>3600</v>
      </c>
      <c r="G43" s="42">
        <f t="shared" si="12"/>
        <v>13700</v>
      </c>
      <c r="H43" s="42">
        <f t="shared" si="13"/>
        <v>3300</v>
      </c>
    </row>
    <row r="44" ht="15.75" customHeight="1">
      <c r="B44" s="40">
        <f t="shared" si="14"/>
        <v>60</v>
      </c>
      <c r="C44" s="41">
        <f t="shared" si="8"/>
        <v>40</v>
      </c>
      <c r="D44" s="42">
        <f t="shared" si="9"/>
        <v>17000</v>
      </c>
      <c r="E44" s="42">
        <f t="shared" si="10"/>
        <v>12800</v>
      </c>
      <c r="F44" s="42">
        <f t="shared" si="11"/>
        <v>4200</v>
      </c>
      <c r="G44" s="42">
        <f t="shared" si="12"/>
        <v>13100</v>
      </c>
      <c r="H44" s="42">
        <f t="shared" si="13"/>
        <v>3900</v>
      </c>
    </row>
    <row r="45" ht="15.75" customHeight="1">
      <c r="B45" s="40">
        <f t="shared" si="14"/>
        <v>65</v>
      </c>
      <c r="C45" s="41">
        <f t="shared" si="8"/>
        <v>35</v>
      </c>
      <c r="D45" s="42">
        <f t="shared" si="9"/>
        <v>17000</v>
      </c>
      <c r="E45" s="42">
        <f t="shared" si="10"/>
        <v>12200</v>
      </c>
      <c r="F45" s="42">
        <f t="shared" si="11"/>
        <v>4800</v>
      </c>
      <c r="G45" s="42">
        <f t="shared" si="12"/>
        <v>12500</v>
      </c>
      <c r="H45" s="42">
        <f t="shared" si="13"/>
        <v>4500</v>
      </c>
    </row>
    <row r="46" ht="15.75" customHeight="1">
      <c r="B46" s="40">
        <f t="shared" si="14"/>
        <v>70</v>
      </c>
      <c r="C46" s="41">
        <f t="shared" si="8"/>
        <v>30</v>
      </c>
      <c r="D46" s="42">
        <f t="shared" si="9"/>
        <v>17000</v>
      </c>
      <c r="E46" s="42">
        <f t="shared" si="10"/>
        <v>11600</v>
      </c>
      <c r="F46" s="42">
        <f t="shared" si="11"/>
        <v>5400</v>
      </c>
      <c r="G46" s="42">
        <f t="shared" si="12"/>
        <v>11900</v>
      </c>
      <c r="H46" s="42">
        <f t="shared" si="13"/>
        <v>5100</v>
      </c>
    </row>
    <row r="47" ht="15.75" customHeight="1">
      <c r="B47" s="40">
        <f t="shared" si="14"/>
        <v>75</v>
      </c>
      <c r="C47" s="41">
        <f t="shared" si="8"/>
        <v>25</v>
      </c>
      <c r="D47" s="42">
        <f t="shared" si="9"/>
        <v>17000</v>
      </c>
      <c r="E47" s="42">
        <f t="shared" si="10"/>
        <v>11000</v>
      </c>
      <c r="F47" s="42">
        <f t="shared" si="11"/>
        <v>6000</v>
      </c>
      <c r="G47" s="42">
        <f t="shared" si="12"/>
        <v>11300</v>
      </c>
      <c r="H47" s="42">
        <f t="shared" si="13"/>
        <v>5700</v>
      </c>
    </row>
    <row r="48" ht="15.75" customHeight="1">
      <c r="B48" s="40">
        <f t="shared" si="14"/>
        <v>80</v>
      </c>
      <c r="C48" s="41">
        <f t="shared" si="8"/>
        <v>20</v>
      </c>
      <c r="D48" s="42">
        <f t="shared" si="9"/>
        <v>17000</v>
      </c>
      <c r="E48" s="42">
        <f t="shared" si="10"/>
        <v>10400</v>
      </c>
      <c r="F48" s="42">
        <f t="shared" si="11"/>
        <v>6600</v>
      </c>
      <c r="G48" s="42">
        <f t="shared" si="12"/>
        <v>10700</v>
      </c>
      <c r="H48" s="42">
        <f t="shared" si="13"/>
        <v>6300</v>
      </c>
    </row>
    <row r="49" ht="15.75" customHeight="1">
      <c r="B49" s="40">
        <f t="shared" si="14"/>
        <v>85</v>
      </c>
      <c r="C49" s="41">
        <f t="shared" si="8"/>
        <v>15</v>
      </c>
      <c r="D49" s="42">
        <f t="shared" si="9"/>
        <v>17000</v>
      </c>
      <c r="E49" s="42">
        <f t="shared" si="10"/>
        <v>9800</v>
      </c>
      <c r="F49" s="42">
        <f t="shared" si="11"/>
        <v>7200</v>
      </c>
      <c r="G49" s="42">
        <f t="shared" si="12"/>
        <v>10100</v>
      </c>
      <c r="H49" s="42">
        <f t="shared" si="13"/>
        <v>6900</v>
      </c>
    </row>
    <row r="50" ht="15.75" customHeight="1">
      <c r="B50" s="40">
        <f t="shared" si="14"/>
        <v>90</v>
      </c>
      <c r="C50" s="41">
        <f t="shared" si="8"/>
        <v>10</v>
      </c>
      <c r="D50" s="42">
        <f t="shared" si="9"/>
        <v>17000</v>
      </c>
      <c r="E50" s="42">
        <f t="shared" si="10"/>
        <v>9200</v>
      </c>
      <c r="F50" s="42">
        <f t="shared" si="11"/>
        <v>7800</v>
      </c>
      <c r="G50" s="42">
        <f t="shared" si="12"/>
        <v>9500</v>
      </c>
      <c r="H50" s="42">
        <f t="shared" si="13"/>
        <v>7500</v>
      </c>
    </row>
    <row r="51" ht="15.75" customHeight="1">
      <c r="B51" s="40">
        <f t="shared" si="14"/>
        <v>95</v>
      </c>
      <c r="C51" s="41">
        <f t="shared" si="8"/>
        <v>5</v>
      </c>
      <c r="D51" s="42">
        <f t="shared" si="9"/>
        <v>17000</v>
      </c>
      <c r="E51" s="42">
        <f t="shared" si="10"/>
        <v>8600</v>
      </c>
      <c r="F51" s="42">
        <f t="shared" si="11"/>
        <v>8400</v>
      </c>
      <c r="G51" s="42">
        <f t="shared" si="12"/>
        <v>8900</v>
      </c>
      <c r="H51" s="42">
        <f t="shared" si="13"/>
        <v>8100</v>
      </c>
    </row>
    <row r="52" ht="15.75" customHeight="1">
      <c r="B52" s="40">
        <f t="shared" si="14"/>
        <v>100</v>
      </c>
      <c r="C52" s="41">
        <f t="shared" si="8"/>
        <v>0</v>
      </c>
      <c r="D52" s="42">
        <f t="shared" si="9"/>
        <v>17000</v>
      </c>
      <c r="E52" s="42">
        <f t="shared" si="10"/>
        <v>8000</v>
      </c>
      <c r="F52" s="42">
        <f t="shared" si="11"/>
        <v>9000</v>
      </c>
      <c r="G52" s="42">
        <f t="shared" si="12"/>
        <v>8300</v>
      </c>
      <c r="H52" s="42">
        <f t="shared" si="13"/>
        <v>8700</v>
      </c>
    </row>
    <row r="53" ht="15.75" customHeight="1">
      <c r="B53" s="43" t="s">
        <v>117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2">
    <mergeCell ref="E23:H23"/>
    <mergeCell ref="E19:H19"/>
    <mergeCell ref="E20:H20"/>
    <mergeCell ref="E27:H27"/>
    <mergeCell ref="E28:H28"/>
    <mergeCell ref="E24:H24"/>
    <mergeCell ref="E25:H25"/>
    <mergeCell ref="E26:H26"/>
    <mergeCell ref="A2:H2"/>
    <mergeCell ref="E9:H9"/>
    <mergeCell ref="E8:H8"/>
    <mergeCell ref="E7:H7"/>
    <mergeCell ref="E6:H6"/>
    <mergeCell ref="E5:H5"/>
    <mergeCell ref="E4:H4"/>
    <mergeCell ref="E15:H15"/>
    <mergeCell ref="E16:H16"/>
    <mergeCell ref="E17:H17"/>
    <mergeCell ref="E18:H18"/>
    <mergeCell ref="E12:H12"/>
    <mergeCell ref="E11:H11"/>
    <mergeCell ref="E10:H10"/>
  </mergeCells>
  <conditionalFormatting sqref="F32:F52">
    <cfRule type="expression" dxfId="0" priority="1">
      <formula>F32&lt;0</formula>
    </cfRule>
  </conditionalFormatting>
  <conditionalFormatting sqref="F32:F52">
    <cfRule type="expression" dxfId="1" priority="2">
      <formula>F32&gt;0</formula>
    </cfRule>
  </conditionalFormatting>
  <conditionalFormatting sqref="H32:H52">
    <cfRule type="expression" dxfId="0" priority="3">
      <formula>H32&lt;0</formula>
    </cfRule>
  </conditionalFormatting>
  <conditionalFormatting sqref="H32:H52">
    <cfRule type="expression" dxfId="1" priority="4">
      <formula>H32&gt;0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40.0"/>
    <col customWidth="1" min="3" max="3" width="44.0"/>
    <col customWidth="1" min="4" max="5" width="13.0"/>
    <col customWidth="1" min="6" max="6" width="92.0"/>
    <col customWidth="1" min="7" max="26" width="8.71"/>
  </cols>
  <sheetData>
    <row r="1" ht="30.0" customHeight="1">
      <c r="A1" s="1" t="s">
        <v>0</v>
      </c>
      <c r="B1" s="2"/>
      <c r="C1" s="2"/>
      <c r="D1" s="2"/>
      <c r="E1" s="2"/>
      <c r="F1" s="2"/>
    </row>
    <row r="3" ht="30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4">
        <v>1.0</v>
      </c>
      <c r="B4" s="5" t="s">
        <v>7</v>
      </c>
      <c r="C4" s="6" t="s">
        <v>8</v>
      </c>
      <c r="D4" s="7">
        <f>D17*Breakeven!$C$6/30</f>
        <v>6.3</v>
      </c>
      <c r="E4" s="7">
        <f>E17*Breakeven!$C$6/30</f>
        <v>7</v>
      </c>
      <c r="F4" s="6" t="s">
        <v>9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1.5" customHeight="1">
      <c r="A5" s="4">
        <v>2.0</v>
      </c>
      <c r="B5" s="5" t="s">
        <v>10</v>
      </c>
      <c r="C5" s="6" t="s">
        <v>11</v>
      </c>
      <c r="D5" s="7">
        <v>14.0</v>
      </c>
      <c r="E5" s="7">
        <v>15.0</v>
      </c>
      <c r="F5" s="6" t="s">
        <v>12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1.5" customHeight="1">
      <c r="A6" s="4">
        <v>3.0</v>
      </c>
      <c r="B6" s="5" t="s">
        <v>13</v>
      </c>
      <c r="C6" s="6" t="s">
        <v>14</v>
      </c>
      <c r="D6" s="7">
        <v>1.0</v>
      </c>
      <c r="E6" s="7">
        <v>2.0</v>
      </c>
      <c r="F6" s="6" t="s">
        <v>15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1.5" customHeight="1">
      <c r="A7" s="4">
        <v>4.0</v>
      </c>
      <c r="B7" s="5" t="s">
        <v>16</v>
      </c>
      <c r="C7" s="6" t="s">
        <v>17</v>
      </c>
      <c r="D7" s="7">
        <v>7.0</v>
      </c>
      <c r="E7" s="7">
        <v>7.0</v>
      </c>
      <c r="F7" s="6" t="s">
        <v>18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1.5" customHeight="1">
      <c r="A8" s="4">
        <v>5.0</v>
      </c>
      <c r="B8" s="5" t="s">
        <v>19</v>
      </c>
      <c r="C8" s="6" t="s">
        <v>20</v>
      </c>
      <c r="D8" s="7">
        <v>1.7</v>
      </c>
      <c r="E8" s="7">
        <v>2.0</v>
      </c>
      <c r="F8" s="6" t="s">
        <v>21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9.5" customHeight="1">
      <c r="A9" s="9" t="s">
        <v>22</v>
      </c>
      <c r="B9" s="10"/>
      <c r="C9" s="10"/>
      <c r="D9" s="10"/>
      <c r="E9" s="10"/>
      <c r="F9" s="10"/>
    </row>
    <row r="10">
      <c r="A10" s="4">
        <v>6.0</v>
      </c>
      <c r="B10" s="5" t="s">
        <v>23</v>
      </c>
      <c r="C10" s="6" t="s">
        <v>24</v>
      </c>
      <c r="D10" s="7">
        <v>0.0</v>
      </c>
      <c r="E10" s="7">
        <v>0.0</v>
      </c>
      <c r="F10" s="6" t="s">
        <v>25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1.5" customHeight="1">
      <c r="A11" s="4">
        <v>7.0</v>
      </c>
      <c r="B11" s="5" t="s">
        <v>26</v>
      </c>
      <c r="C11" s="6" t="s">
        <v>27</v>
      </c>
      <c r="D11" s="7">
        <v>0.0</v>
      </c>
      <c r="E11" s="7">
        <v>0.0</v>
      </c>
      <c r="F11" s="6" t="s">
        <v>28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1.5" customHeight="1">
      <c r="A12" s="4">
        <v>8.0</v>
      </c>
      <c r="B12" s="5" t="s">
        <v>29</v>
      </c>
      <c r="C12" s="6" t="s">
        <v>30</v>
      </c>
      <c r="D12" s="7">
        <v>0.0</v>
      </c>
      <c r="E12" s="7">
        <v>0.0</v>
      </c>
      <c r="F12" s="6" t="s">
        <v>31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1.5" customHeight="1">
      <c r="A13" s="4">
        <v>9.0</v>
      </c>
      <c r="B13" s="5" t="s">
        <v>32</v>
      </c>
      <c r="C13" s="6" t="s">
        <v>33</v>
      </c>
      <c r="D13" s="7">
        <v>0.0</v>
      </c>
      <c r="E13" s="7">
        <v>0.0</v>
      </c>
      <c r="F13" s="6" t="s">
        <v>34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4.0" customHeight="1">
      <c r="A14" s="11"/>
      <c r="B14" s="12" t="s">
        <v>35</v>
      </c>
      <c r="C14" s="13" t="str">
        <f>"for a hold of up to "&amp;Breakeven!$C$6&amp;" days"</f>
        <v>for a hold of up to 21 days</v>
      </c>
      <c r="D14" s="14">
        <f t="shared" ref="D14:E14" si="1">SUM(D4:D8,D10:D13)</f>
        <v>30</v>
      </c>
      <c r="E14" s="14">
        <f t="shared" si="1"/>
        <v>33</v>
      </c>
      <c r="F14" s="12" t="str">
        <f>IF(AND(D14&gt;=D18,E14&lt;=E18),"Within the ₹"&amp;TEXT(D18,"0")&amp;"–"&amp;TEXT(E18,"0")&amp;" target range","⚠ Outside the ₹"&amp;TEXT(D18,"0")&amp;"–"&amp;TEXT(E18,"0")&amp;" target range")</f>
        <v>Within the ₹30–33 target range</v>
      </c>
    </row>
    <row r="16" ht="19.5" customHeight="1">
      <c r="A16" s="15" t="s">
        <v>36</v>
      </c>
      <c r="B16" s="16"/>
      <c r="C16" s="16"/>
      <c r="D16" s="16"/>
      <c r="E16" s="16"/>
      <c r="F16" s="16"/>
    </row>
    <row r="17">
      <c r="A17" s="8"/>
      <c r="B17" s="5" t="s">
        <v>37</v>
      </c>
      <c r="C17" s="17" t="s">
        <v>38</v>
      </c>
      <c r="D17" s="7">
        <v>9.0</v>
      </c>
      <c r="E17" s="7">
        <v>10.0</v>
      </c>
      <c r="F17" s="17" t="s">
        <v>39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5" t="s">
        <v>40</v>
      </c>
      <c r="C18" s="17" t="s">
        <v>41</v>
      </c>
      <c r="D18" s="7">
        <v>30.0</v>
      </c>
      <c r="E18" s="7">
        <v>33.0</v>
      </c>
      <c r="F18" s="17" t="s">
        <v>42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20" ht="19.5" customHeight="1">
      <c r="A20" s="15" t="s">
        <v>43</v>
      </c>
      <c r="B20" s="16"/>
      <c r="C20" s="16"/>
      <c r="D20" s="16"/>
      <c r="E20" s="16"/>
      <c r="F20" s="16"/>
    </row>
    <row r="21" ht="25.5" customHeight="1">
      <c r="A21" s="4">
        <v>1.0</v>
      </c>
      <c r="B21" s="18" t="s">
        <v>44</v>
      </c>
      <c r="C21" s="6" t="s">
        <v>45</v>
      </c>
      <c r="D21" s="19"/>
      <c r="F21" s="20" t="s">
        <v>46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5.5" customHeight="1">
      <c r="A22" s="4">
        <v>2.0</v>
      </c>
      <c r="B22" s="18" t="s">
        <v>47</v>
      </c>
      <c r="C22" s="6" t="s">
        <v>48</v>
      </c>
      <c r="D22" s="19"/>
      <c r="F22" s="21" t="s">
        <v>49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5.5" customHeight="1">
      <c r="A23" s="4">
        <v>3.0</v>
      </c>
      <c r="B23" s="18" t="s">
        <v>50</v>
      </c>
      <c r="C23" s="6" t="s">
        <v>51</v>
      </c>
      <c r="D23" s="19"/>
      <c r="F23" s="21" t="s">
        <v>52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5.5" customHeight="1">
      <c r="A24" s="4">
        <v>4.0</v>
      </c>
      <c r="B24" s="18" t="s">
        <v>53</v>
      </c>
      <c r="C24" s="6" t="s">
        <v>54</v>
      </c>
      <c r="D24" s="19"/>
      <c r="F24" s="21" t="s">
        <v>55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5.5" customHeight="1">
      <c r="A25" s="4">
        <v>5.0</v>
      </c>
      <c r="B25" s="18" t="s">
        <v>56</v>
      </c>
      <c r="C25" s="6" t="s">
        <v>57</v>
      </c>
      <c r="D25" s="19"/>
      <c r="F25" s="21" t="s">
        <v>58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4">
        <v>6.0</v>
      </c>
      <c r="B26" s="18" t="s">
        <v>59</v>
      </c>
      <c r="C26" s="6" t="s">
        <v>60</v>
      </c>
      <c r="D26" s="19"/>
      <c r="F26" s="21" t="s">
        <v>61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5.5" customHeight="1">
      <c r="A27" s="4">
        <v>7.0</v>
      </c>
      <c r="B27" s="18" t="s">
        <v>62</v>
      </c>
      <c r="C27" s="6" t="s">
        <v>63</v>
      </c>
      <c r="D27" s="19"/>
      <c r="F27" s="21" t="s">
        <v>64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D21:E21"/>
    <mergeCell ref="D22:E22"/>
    <mergeCell ref="D23:E23"/>
    <mergeCell ref="D24:E24"/>
    <mergeCell ref="D25:E25"/>
    <mergeCell ref="D26:E26"/>
    <mergeCell ref="D27:E27"/>
  </mergeCells>
  <hyperlinks>
    <hyperlink r:id="rId1" ref="F21"/>
    <hyperlink r:id="rId2" ref="F22"/>
    <hyperlink r:id="rId3" ref="F23"/>
    <hyperlink r:id="rId4" ref="F24"/>
    <hyperlink r:id="rId5" ref="F25"/>
    <hyperlink r:id="rId6" ref="F26"/>
    <hyperlink r:id="rId7" ref="F27"/>
  </hyperlinks>
  <printOptions/>
  <pageMargins bottom="1.0" footer="0.0" header="0.0" left="0.75" right="0.75" top="1.0"/>
  <pageSetup fitToHeight="0" orientation="landscape"/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2026-10-04T12:28:11Z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