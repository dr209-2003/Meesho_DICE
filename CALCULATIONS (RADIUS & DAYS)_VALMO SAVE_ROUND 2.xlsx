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 (70 km)" sheetId="1" r:id="rId5"/>
    <sheet state="visible" name="Time (21 days)" sheetId="2" r:id="rId6"/>
  </sheets>
  <definedNames/>
  <calcPr/>
</workbook>
</file>

<file path=xl/sharedStrings.xml><?xml version="1.0" encoding="utf-8"?>
<sst xmlns="http://schemas.openxmlformats.org/spreadsheetml/2006/main" count="1842" uniqueCount="855">
  <si>
    <t>Valmo-SAVE · Holding time: how long may an RTO wait at the hub for a local buyer?</t>
  </si>
  <si>
    <t>Answer: a 21-day cap, inside Meesho's 45-day lost-shipment rule. Three methods on the same unseen back-test, the economics of one more day, and a per-SKU check at 70 km. All derived numbers are live formulas.</t>
  </si>
  <si>
    <t>0 · THE ANSWER (live)</t>
  </si>
  <si>
    <t>Each line is a formula pointing at the calculation further down this tab.</t>
  </si>
  <si>
    <t>Result</t>
  </si>
  <si>
    <t>Value</t>
  </si>
  <si>
    <t>How it is computed</t>
  </si>
  <si>
    <t>Method 1 · all products (21,055 RTOs)</t>
  </si>
  <si>
    <t>Average of 5 lens elbows · section 4</t>
  </si>
  <si>
    <t>days</t>
  </si>
  <si>
    <t>Method 2 · top-20 SKUs (1,303 RTOs)</t>
  </si>
  <si>
    <t>Average of pooled elbow and RTO-weighted SKU elbows · section 5</t>
  </si>
  <si>
    <t>All products</t>
  </si>
  <si>
    <t>Method 3 · São Paulo metro (5,108 RTOs)</t>
  </si>
  <si>
    <t>Average of pooled elbow and two SKU groups · section 6</t>
  </si>
  <si>
    <t>Top-20 SKUs</t>
  </si>
  <si>
    <t>Average of the three methods</t>
  </si>
  <si>
    <t>Simple average, for reference</t>
  </si>
  <si>
    <t>São Paulo</t>
  </si>
  <si>
    <t>WHOLE-CATALOGUE HOLD CAP (largest of the three)</t>
  </si>
  <si>
    <t>One SOP number for every SKU; the per-day stop rule still releases weak SKUs earlier</t>
  </si>
  <si>
    <t>Average</t>
  </si>
  <si>
    <t>Room under the 45-day rule (median lane)</t>
  </si>
  <si>
    <t>Section 7: 45 − 3 NDR − 2 buffer − 2 × 7.1 lane days</t>
  </si>
  <si>
    <t>Hold cap</t>
  </si>
  <si>
    <t>Effective cap per RTO</t>
  </si>
  <si>
    <t>Section 7</t>
  </si>
  <si>
    <t>Share of 60-day saving captured at day 21 (all / top-20 / SP)</t>
  </si>
  <si>
    <t>Valmo-SAVE · Resale radius: how far may a held RTO travel to its next buyer?</t>
  </si>
  <si>
    <t>Section 2</t>
  </si>
  <si>
    <t>Answer: a 70 km network cap. Three independent methods on Olist back-tests (Apr–Jul 2018, unseen) + the freight cliff + a Delhi NCR check. All derived numbers are live formulas.</t>
  </si>
  <si>
    <t>Extra ₹ per RTO per day: week 1 vs after day 21 (all products)</t>
  </si>
  <si>
    <t>Section 3</t>
  </si>
  <si>
    <t>P required to hold 21 days vs held RTOs resold by day 21</t>
  </si>
  <si>
    <t>Section 2: the average held RTO clears the bar</t>
  </si>
  <si>
    <t>Top-20 SKUs that pay at 70 km and 21 days</t>
  </si>
  <si>
    <t>Method 1 · all products (26,767 RTOs)</t>
  </si>
  <si>
    <t>Section 8</t>
  </si>
  <si>
    <t>1 · THE ECONOMICS OF ONE MORE DAY</t>
  </si>
  <si>
    <t>Costs link to the Distance tab (green). A held RTO is worth holding only while its chance of resale beats P required = (hold cost + storage × days) ÷ reverse cost.</t>
  </si>
  <si>
    <t>Average of 4 lens elbows (one curve, region types, categories, category × region) · section 3</t>
  </si>
  <si>
    <t>Method</t>
  </si>
  <si>
    <t>Cost line</t>
  </si>
  <si>
    <t>Unit</t>
  </si>
  <si>
    <t>km</t>
  </si>
  <si>
    <t>Method 2 · top-20 SKUs (1,487 RTOs)</t>
  </si>
  <si>
    <t>Forward cost (sunk)</t>
  </si>
  <si>
    <t>RTO-weighted mean of the per-SKU elbows · section 4</t>
  </si>
  <si>
    <t>₹</t>
  </si>
  <si>
    <t>Reverse cost (avoided if resold)</t>
  </si>
  <si>
    <t>Method 3 · São Paulo metro (209 SKUs)</t>
  </si>
  <si>
    <t>RTO-weighted mean of 209 SKU elbows · section 5 + appendix</t>
  </si>
  <si>
    <t>Status quo per RTO</t>
  </si>
  <si>
    <t>One-time hold cost</t>
  </si>
  <si>
    <t>Storage per day</t>
  </si>
  <si>
    <t>₹/day</t>
  </si>
  <si>
    <t>E[cost](T) = 75 + storage × E[days] + 120 × (1 − P(T))  →  HOLD if below ₹170, i.e. if P(T) ≥ (25 + storage × E[days]) ÷ 120</t>
  </si>
  <si>
    <t>NETWORK CAP (largest of the three methods)</t>
  </si>
  <si>
    <t>2 · THREE BACK-TESTED CURVES: ₹ saved per RTO for every hold cap from 1 to 60 days</t>
  </si>
  <si>
    <t>Method 1 = all products (21,055 RTOs) · Method 2 = top-20 SKUs (1,303) · Method 3 = São Paulo metro (5,108). Kneedle elbow on days 1–60.</t>
  </si>
  <si>
    <t>Hold cap (days)</t>
  </si>
  <si>
    <t>P required to hold (break-even)</t>
  </si>
  <si>
    <t>M1 ₹/RTO all products</t>
  </si>
  <si>
    <t>M2 ₹/RTO top-20</t>
  </si>
  <si>
    <t>M3 ₹/RTO São Paulo</t>
  </si>
  <si>
    <t>M1 share of 60-day value</t>
  </si>
  <si>
    <t>M2 share</t>
  </si>
  <si>
    <t>M3 share</t>
  </si>
  <si>
    <t>M1 extra ₹ for this day</t>
  </si>
  <si>
    <t>M2 extra ₹</t>
  </si>
  <si>
    <t>Covers the SKUs that earn the most (top-20) and stays inside the city network</t>
  </si>
  <si>
    <t>M3 extra ₹</t>
  </si>
  <si>
    <t>M1 Kneedle score</t>
  </si>
  <si>
    <t>M2 Kneedle score</t>
  </si>
  <si>
    <t>M3 Kneedle score</t>
  </si>
  <si>
    <t>M1 held RTOs resold by now</t>
  </si>
  <si>
    <t>M2 resold by now</t>
  </si>
  <si>
    <t>M3 resold by now</t>
  </si>
  <si>
    <t>Metros: share of value already reached at the cap</t>
  </si>
  <si>
    <t>Engine re-run at each radius · section 2</t>
  </si>
  <si>
    <t>Network cap</t>
  </si>
  <si>
    <t>Freight just past 100 km (vs ≤ 25 km)</t>
  </si>
  <si>
    <t>Olist delivery costs · section 6 — the cap stays below this cliff</t>
  </si>
  <si>
    <t>Top-20 SKUs that already pay inside the cap</t>
  </si>
  <si>
    <t>Per-SKU break-even radius · section 7b</t>
  </si>
  <si>
    <t>Delhi NCR towns inside the cap</t>
  </si>
  <si>
    <t>Haversine from Connaught Place · section 9</t>
  </si>
  <si>
    <t>₹ saved per RTO at the cap: all Brazil / metros</t>
  </si>
  <si>
    <t>Engine back-test on unseen months · section 2</t>
  </si>
  <si>
    <t>1 · COST INPUTS (shared with the Time tab)</t>
  </si>
  <si>
    <t>Team workbook costs. Change a blue cell and every result on both tabs updates.</t>
  </si>
  <si>
    <t>Input</t>
  </si>
  <si>
    <t>Source / meaning</t>
  </si>
  <si>
    <t>Forward delivery cost (already spent)</t>
  </si>
  <si>
    <t>Meesho problem statement</t>
  </si>
  <si>
    <t>Reverse logistics cost (avoided when resold)</t>
  </si>
  <si>
    <t>Status quo cost of an RTO</t>
  </si>
  <si>
    <t>Formula: forward + reverse</t>
  </si>
  <si>
    <t>Handling at the hub</t>
  </si>
  <si>
    <t>Round-1 deck benchmark</t>
  </si>
  <si>
    <t>Relabel on resale</t>
  </si>
  <si>
    <t>Manpower</t>
  </si>
  <si>
    <t>Formula: handling + relabel + manpower</t>
  </si>
  <si>
    <t>Storage per 30 days</t>
  </si>
  <si>
    <t>Formula</t>
  </si>
  <si>
    <t>Olist average freight per item</t>
  </si>
  <si>
    <t>R$</t>
  </si>
  <si>
    <t>Olist, 112k items; equals the ₹50 average journey</t>
  </si>
  <si>
    <t>₹ per R$ of Olist freight (scale)</t>
  </si>
  <si>
    <t>₹ per R$</t>
  </si>
  <si>
    <t>Formula: puts Olist freight on Meesho's ₹50 scale</t>
  </si>
  <si>
    <t>Saving when a held RTO resells = ₹170 − (₹50 + ₹25 + storage × days) = ₹120 − ₹25 − storage × days.</t>
  </si>
  <si>
    <t>2 · ENGINE RE-RUN AT EACH RADIUS (the slide curve)</t>
  </si>
  <si>
    <t>v2.2 engine back-test on 26,767 unseen RTOs (Apr–Jul 2018), re-run with only the resale radius changed. Metros = São Paulo + Rio "launch" areas (8,351 RTOs).</t>
  </si>
  <si>
    <t>Resale radius (km)</t>
  </si>
  <si>
    <t>All Brazil ₹ saved / RTO</t>
  </si>
  <si>
    <t>95% low</t>
  </si>
  <si>
    <t>95% high</t>
  </si>
  <si>
    <t>Held share</t>
  </si>
  <si>
    <t>Resold of held</t>
  </si>
  <si>
    <t>Metros ₹ / RTO</t>
  </si>
  <si>
    <t>Mid-size cities ₹ / RTO</t>
  </si>
  <si>
    <t>Small towns ₹ / RTO</t>
  </si>
  <si>
    <t>Metros: share of 200-km value</t>
  </si>
  <si>
    <t>Metros: extra ₹ per +10 km</t>
  </si>
  <si>
    <t>All Brazil: extra ₹ per +10 km</t>
  </si>
  <si>
    <t>Cap being tested (km)</t>
  </si>
  <si>
    <t>Metros: share of value reached at the cap</t>
  </si>
  <si>
    <t>cap marker x</t>
  </si>
  <si>
    <t>Metros: value still to gain from cap to 200 km</t>
  </si>
  <si>
    <t>cap marker y</t>
  </si>
  <si>
    <t>Metros: share reached within 25 km</t>
  </si>
  <si>
    <t>All Brazil ₹ / RTO at the cap (headline back-test)</t>
  </si>
  <si>
    <t>Metros ₹ / RTO at the cap</t>
  </si>
  <si>
    <t>3 · METHOD 1 — ALL PRODUCTS (26,767 test RTOs)</t>
  </si>
  <si>
    <t>Elbow found with the Kneedle rule: normalise radius and ₹ saved to 0–1 (radii ≤ 300 km), the elbow is where (₹ normalised − radius normalised) is largest.</t>
  </si>
  <si>
    <t>3a · One curve for all returns, with the Kneedle elbow</t>
  </si>
  <si>
    <t>₹ saved per RTO</t>
  </si>
  <si>
    <t>Gain per +10 km</t>
  </si>
  <si>
    <t>95% low (gain)</t>
  </si>
  <si>
    <t>95% high (gain)</t>
  </si>
  <si>
    <t>Kneedle score (y−x)</t>
  </si>
  <si>
    <t>Elbow (Kneedle, ≤ 300 km)</t>
  </si>
  <si>
    <t>3b · Region types: metros, mid-size cities, small towns</t>
  </si>
  <si>
    <t>Metros ₹/RTO</t>
  </si>
  <si>
    <t>Mid-size ₹/RTO</t>
  </si>
  <si>
    <t>Small towns ₹/RTO</t>
  </si>
  <si>
    <t>Kneedle: metros</t>
  </si>
  <si>
    <t>Kneedle: mid-size</t>
  </si>
  <si>
    <t>Kneedle: small towns</t>
  </si>
  <si>
    <t>Region type</t>
  </si>
  <si>
    <t>Test RTOs</t>
  </si>
  <si>
    <t>Elbow (km)</t>
  </si>
  <si>
    <t>Used in lens?</t>
  </si>
  <si>
    <t>Metros (São Paulo, Rio)</t>
  </si>
  <si>
    <t>Yes</t>
  </si>
  <si>
    <t>Mid-size cities</t>
  </si>
  <si>
    <t>Small towns</t>
  </si>
  <si>
    <t>No: no local elbow (curve keeps rising)</t>
  </si>
  <si>
    <t>Region-type elbow (weighted by RTOs, metros + mid-size)</t>
  </si>
  <si>
    <t>3c · Product categories (elbow per category) and category × region type</t>
  </si>
  <si>
    <t>Category</t>
  </si>
  <si>
    <t>₹/RTO at 50 km</t>
  </si>
  <si>
    <t>₹/RTO at 100 km</t>
  </si>
  <si>
    <t>₹/RTO at 300 km</t>
  </si>
  <si>
    <t>Region</t>
  </si>
  <si>
    <t>health beauty</t>
  </si>
  <si>
    <t>auto</t>
  </si>
  <si>
    <t>metro</t>
  </si>
  <si>
    <t>bed bath table</t>
  </si>
  <si>
    <t>baby</t>
  </si>
  <si>
    <t>watches gifts</t>
  </si>
  <si>
    <t>sports leisure</t>
  </si>
  <si>
    <t>mid-size</t>
  </si>
  <si>
    <t>computers accessories</t>
  </si>
  <si>
    <t>housewares</t>
  </si>
  <si>
    <t>furniture decor</t>
  </si>
  <si>
    <t>electronics</t>
  </si>
  <si>
    <t>telephony</t>
  </si>
  <si>
    <t>garden tools</t>
  </si>
  <si>
    <t>toys</t>
  </si>
  <si>
    <t>perfumery</t>
  </si>
  <si>
    <t>cool stuff</t>
  </si>
  <si>
    <t>stationery</t>
  </si>
  <si>
    <t>pet shop</t>
  </si>
  <si>
    <t>fashion bags accessories</t>
  </si>
  <si>
    <t>office furniture</t>
  </si>
  <si>
    <t>construction tools construction</t>
  </si>
  <si>
    <t>Weighted elbow (by RTOs)</t>
  </si>
  <si>
    <t>3d · Method 1 answer: average of the four "lenses"</t>
  </si>
  <si>
    <t>Lens</t>
  </si>
  <si>
    <t>Groups</t>
  </si>
  <si>
    <t>How the elbow is computed</t>
  </si>
  <si>
    <t>All returns, one curve</t>
  </si>
  <si>
    <t>Kneedle on 3a</t>
  </si>
  <si>
    <t>Region types (metros, mid-size)</t>
  </si>
  <si>
    <t>Weighted elbow, 3b</t>
  </si>
  <si>
    <t>Product categories</t>
  </si>
  <si>
    <t>Weighted elbow, 3c left</t>
  </si>
  <si>
    <t>Category × region type</t>
  </si>
  <si>
    <t>Weighted elbow, 3c right</t>
  </si>
  <si>
    <t>METHOD 1 RESULT = average of the 4 lenses</t>
  </si>
  <si>
    <t>← unrounded</t>
  </si>
  <si>
    <t>4 · METHOD 2 — TOP-20 SKUs (1,487 test RTOs)</t>
  </si>
  <si>
    <t>The 20 best-selling SKUs carry most repeat demand. Elbow per SKU from its own ₹-vs-radius curve, then averaged weighted by test RTOs.</t>
  </si>
  <si>
    <t>4a · Pooled top-20 curve</t>
  </si>
  <si>
    <t>Pooled elbow (Kneedle)</t>
  </si>
  <si>
    <t>Note: pooling hides SKU differences, so the answer uses the per-SKU elbows (4b).</t>
  </si>
  <si>
    <t>4b · Elbow for each top-20 SKU</t>
  </si>
  <si>
    <t>Rank</t>
  </si>
  <si>
    <t>Product ID</t>
  </si>
  <si>
    <t>₹/RTO at 25 km</t>
  </si>
  <si>
    <t>Inside 70 km cap?</t>
  </si>
  <si>
    <t>Note</t>
  </si>
  <si>
    <t>99a4788cb2…</t>
  </si>
  <si>
    <t>aca2eb7d00…</t>
  </si>
  <si>
    <t>422879e10f…</t>
  </si>
  <si>
    <t>d1c427060a…</t>
  </si>
  <si>
    <t>389d119b48…</t>
  </si>
  <si>
    <t>53b36df67e…</t>
  </si>
  <si>
    <t>368c6c7308…</t>
  </si>
  <si>
    <t>53759a2ecd…</t>
  </si>
  <si>
    <t>154e7e31eb…</t>
  </si>
  <si>
    <t>too few test returns</t>
  </si>
  <si>
    <t>2b4609f894…</t>
  </si>
  <si>
    <t>3dd2a17168…</t>
  </si>
  <si>
    <t>7c1bd920db…</t>
  </si>
  <si>
    <t>5a848e4ab5…</t>
  </si>
  <si>
    <t>uncategorised</t>
  </si>
  <si>
    <t>e0d64dcfaa…</t>
  </si>
  <si>
    <t>bb50f2e236…</t>
  </si>
  <si>
    <t>a62e25e09e…</t>
  </si>
  <si>
    <t>42a2c92a09…</t>
  </si>
  <si>
    <t>a92930c327…</t>
  </si>
  <si>
    <t>e53e557d5a…</t>
  </si>
  <si>
    <t>35afc97363…</t>
  </si>
  <si>
    <t>home confort</t>
  </si>
  <si>
    <t>SKUs with enough test RTOs</t>
  </si>
  <si>
    <t>Simple mean / median elbow</t>
  </si>
  <si>
    <t>Weighted by test RTOs (SKUs with an elbow)</t>
  </si>
  <si>
    <t>METHOD 2 RESULT = RTO-weighted elbow, rounded</t>
  </si>
  <si>
    <t>Top-20 SKUs whose elbow is inside the 70 km cap</t>
  </si>
  <si>
    <t>4c · Top-5 SKUs: saturation length λ (value curve V(R) ≈ V∞ · (1 − e^(−R/λ)))</t>
  </si>
  <si>
    <t>Saturation length λ (km)</t>
  </si>
  <si>
    <t>Share of value within 70 km</t>
  </si>
  <si>
    <t>Share within 100 km</t>
  </si>
  <si>
    <t>Marginal ₹ per 10 km at 10 km</t>
  </si>
  <si>
    <t>at 100 km</t>
  </si>
  <si>
    <t>Average share of value inside the 70 km cap (top-5)</t>
  </si>
  <si>
    <t>5 · METHOD 3 — SÃO PAULO METRO (proxy for Delhi NCR)</t>
  </si>
  <si>
    <t>Every São Paulo SKU with ≥ 10 test RTOs gets its own elbow (209 SKUs, full list in the appendix at the bottom). Result = RTO-weighted mean.</t>
  </si>
  <si>
    <t>5a · Pooled São Paulo curve</t>
  </si>
  <si>
    <t>5b · Distribution of the 209 SKU elbows, and the result</t>
  </si>
  <si>
    <t>Elbow from (km)</t>
  </si>
  <si>
    <t>to (km)</t>
  </si>
  <si>
    <t>SKUs</t>
  </si>
  <si>
    <t>Share of RTOs</t>
  </si>
  <si>
    <t>Cumulative share</t>
  </si>
  <si>
    <t>SKUs / test RTOs / simple mean / median</t>
  </si>
  <si>
    <t>Share of São Paulo RTOs whose SKU elbow is ≤ 75 km</t>
  </si>
  <si>
    <t>RTO-weighted mean elbow</t>
  </si>
  <si>
    <t>METHOD 3 RESULT = RTO-weighted elbow, rounded</t>
  </si>
  <si>
    <t>5c · São Paulo by category</t>
  </si>
  <si>
    <t>Median elbow (km)</t>
  </si>
  <si>
    <t>Mean elbow (km)</t>
  </si>
  <si>
    <t>6 · THE FREIGHT CLIFF: what delivery costs by distance (Olist, 66k items)</t>
  </si>
  <si>
    <t>Median freight and transit by seller→buyer distance. Past ~100 km a parcel leaves the city network: freight jumps and delivery slows.</t>
  </si>
  <si>
    <t>Distance band</t>
  </si>
  <si>
    <t>Items</t>
  </si>
  <si>
    <t>Median freight (R$)</t>
  </si>
  <si>
    <t>Median transit (days)</t>
  </si>
  <si>
    <t>Late share</t>
  </si>
  <si>
    <t>Extra freight vs ≤ 25 km</t>
  </si>
  <si>
    <t>Extra ₹ per parcel (₹50 scale)</t>
  </si>
  <si>
    <t>Extra transit days</t>
  </si>
  <si>
    <t>0–25 km</t>
  </si>
  <si>
    <t>Kneedle elbow (pooled curve)</t>
  </si>
  <si>
    <t>25–50 km</t>
  </si>
  <si>
    <t>50–75 km</t>
  </si>
  <si>
    <t>Cap being tested (days)</t>
  </si>
  <si>
    <t>Share of 60-day value at the cap →</t>
  </si>
  <si>
    <t>75–100 km</t>
  </si>
  <si>
    <t>100–125 km</t>
  </si>
  <si>
    <t>Share of 30-day value at the cap (engine headline: 87%)</t>
  </si>
  <si>
    <t>125–150 km</t>
  </si>
  <si>
    <t>Held RTOs resold by the cap vs P required at the cap</t>
  </si>
  <si>
    <t>150–200 km</t>
  </si>
  <si>
    <t>200–300 km</t>
  </si>
  <si>
    <t>Does the average held RTO clear the bar at the cap?</t>
  </si>
  <si>
    <t>300–500 km</t>
  </si>
  <si>
    <t>3 · WHAT ONE MORE DAY BUYS: ₹ per RTO per extra day, by window</t>
  </si>
  <si>
    <t>Extra freight just past 100 km (100–125 km band vs ≤ 25 km)</t>
  </si>
  <si>
    <t>Average gain per extra day of holding with 95% bootstrap intervals (product-cluster bootstrap). After day 21 a day adds ~4× less than in week 1.</t>
  </si>
  <si>
    <t>Window</t>
  </si>
  <si>
    <t>From day</t>
  </si>
  <si>
    <t>To day</t>
  </si>
  <si>
    <t>All products ₹/day</t>
  </si>
  <si>
    <t>low</t>
  </si>
  <si>
    <t>high</t>
  </si>
  <si>
    <t>Top-20 SKUs ₹/day</t>
  </si>
  <si>
    <t>São Paulo ₹/day</t>
  </si>
  <si>
    <t>All products: check from curve</t>
  </si>
  <si>
    <t>day 1–7</t>
  </si>
  <si>
    <t>Extra freight inside the network (75–100 km band vs ≤ 25 km)</t>
  </si>
  <si>
    <t>Jump in transit time crossing 100 km (days)</t>
  </si>
  <si>
    <t>7 · REPLAY CHECK — top-20 SKUs, chance of resale by radius (22-day hold)</t>
  </si>
  <si>
    <t>Earlier replay study (4,805 RTO cases). Re-priced here with the final workbook costs: ₹ saved per held RTO = P(resale) × (₹120 − extra freight) − ₹25 − storage × days on shelf.</t>
  </si>
  <si>
    <t>Service radius (km)</t>
  </si>
  <si>
    <t>Service area (km²)</t>
  </si>
  <si>
    <t>day 7–14</t>
  </si>
  <si>
    <t>Measured: chance of resale</t>
  </si>
  <si>
    <t>Measured: avg days on shelf</t>
  </si>
  <si>
    <t>Measured: extra freight per resale (₹)</t>
  </si>
  <si>
    <t>Share of buyers beyond 100 km</t>
  </si>
  <si>
    <t>Median distance to the new buyer (km)</t>
  </si>
  <si>
    <t>NB model: chance of resale</t>
  </si>
  <si>
    <t>₹ saved per held RTO</t>
  </si>
  <si>
    <t>₹ saved per 100 held RTOs</t>
  </si>
  <si>
    <t>Extra ₹ per 100 RTOs per +10 km</t>
  </si>
  <si>
    <t>Holding pays?</t>
  </si>
  <si>
    <t>day 14–21</t>
  </si>
  <si>
    <t>day 21–30</t>
  </si>
  <si>
    <t>day 30–45</t>
  </si>
  <si>
    <t>day 45–60</t>
  </si>
  <si>
    <t>Week-1 gain ÷ gain after day 21</t>
  </si>
  <si>
    <t>Hold window in this replay (days)</t>
  </si>
  <si>
    <t>4 · METHOD 1 — ALL PRODUCTS: average of five lenses</t>
  </si>
  <si>
    <t>Same idea as the radius study: compute the elbow through several "lenses" and average them, so no single grouping decides the answer.</t>
  </si>
  <si>
    <t>4a · Product categories (≥ 300 RTOs): elbow and ₹ per RTO at each cap</t>
  </si>
  <si>
    <t>RTOs</t>
  </si>
  <si>
    <t>Elbow (days)</t>
  </si>
  <si>
    <t>Day reaching 80% of value</t>
  </si>
  <si>
    <t>₹/RTO at 7 d</t>
  </si>
  <si>
    <t>₹/RTO at 14 d</t>
  </si>
  <si>
    <t>₹/RTO at 21 d</t>
  </si>
  <si>
    <t>₹/RTO at 30 d</t>
  </si>
  <si>
    <t>₹/RTO at 60 d</t>
  </si>
  <si>
    <t>Share of 60-d value at 21 d</t>
  </si>
  <si>
    <t>λ at 100 km (orders/day)</t>
  </si>
  <si>
    <t>λ growth exponent α</t>
  </si>
  <si>
    <t>Burstiness r at 100 km</t>
  </si>
  <si>
    <t>r growth exponent β</t>
  </si>
  <si>
    <t>RTO-weighted elbow</t>
  </si>
  <si>
    <t>4b · Region types: elbow of each region curve</t>
  </si>
  <si>
    <t>Day reaching 80%</t>
  </si>
  <si>
    <t>4c · The five lenses → Method 1 result</t>
  </si>
  <si>
    <t>Kneedle on section 2</t>
  </si>
  <si>
    <t>Region types</t>
  </si>
  <si>
    <t>RTO-weighted, 4b</t>
  </si>
  <si>
    <t>Product categories (≥ 300 RTOs)</t>
  </si>
  <si>
    <t>RTO-weighted, 4a</t>
  </si>
  <si>
    <t>Category × region type (≥ 200 RTOs)</t>
  </si>
  <si>
    <t>Measured (28 group curves)</t>
  </si>
  <si>
    <t>Single products (≥ 20 RTOs)</t>
  </si>
  <si>
    <t>RTO-weighted, appendix A</t>
  </si>
  <si>
    <t>METHOD 1 RESULT = average of the five lenses</t>
  </si>
  <si>
    <t>5 · METHOD 2 — TOP-20 SKUs: pooled elbow + per-SKU elbows</t>
  </si>
  <si>
    <t>Result = average of (a) the elbow of the pooled top-20 curve and (b) the RTO-weighted mean of each SKU's own elbow.</t>
  </si>
  <si>
    <t>Elbow ≤ 21 d?</t>
  </si>
  <si>
    <t>Break-even radius (smallest radius where holding pays)</t>
  </si>
  <si>
    <t>Extra ₹ per 100 RTOs per +10 km: first 25 km vs 50→70 km vs 100→200 km</t>
  </si>
  <si>
    <t>Share of new buyers that are beyond 100 km, at a 70 km radius</t>
  </si>
  <si>
    <t>7b · Per-SKU break-even radius (smallest radius where holding pays, replay vs model)</t>
  </si>
  <si>
    <t>RTO cases</t>
  </si>
  <si>
    <t>Break-even radius, replay (km)</t>
  </si>
  <si>
    <t>Break-even radius, NB model (km)</t>
  </si>
  <si>
    <t>Gap (km)</t>
  </si>
  <si>
    <t>Breaks even inside 70 km?</t>
  </si>
  <si>
    <t>never worth holding</t>
  </si>
  <si>
    <t>unknown</t>
  </si>
  <si>
    <t>(a) Pooled top-20 elbow (Kneedle, section 2)</t>
  </si>
  <si>
    <t>(b) RTO-weighted mean of SKU elbows</t>
  </si>
  <si>
    <t>Simple mean / median of SKU elbows</t>
  </si>
  <si>
    <t>Median break-even radius (replay / model)</t>
  </si>
  <si>
    <t>METHOD 2 RESULT = average of (a) and (b), rounded</t>
  </si>
  <si>
    <t>Top-20 SKUs that already pay inside the 70 km cap</t>
  </si>
  <si>
    <t>SKUs whose own elbow is within 21 days</t>
  </si>
  <si>
    <t>5b · Which single hold window works best for the top-20 SKUs? (RTO-weighted)</t>
  </si>
  <si>
    <t>8 · WHY VALUE FLATTENS: demand grows much slower than area</t>
  </si>
  <si>
    <t>Policy</t>
  </si>
  <si>
    <t>Local demand rate λ (orders/day of the same SKU inside the circle) from the replay, per top-20 SKU. Area grows with R², demand only with R^α.</t>
  </si>
  <si>
    <t>Cap (days)</t>
  </si>
  <si>
    <t>Weighted ₹ per RTO</t>
  </si>
  <si>
    <t>₹ per 100 RTOs</t>
  </si>
  <si>
    <t>SKUs that lose money</t>
  </si>
  <si>
    <t>Within the 45-day room (25 d)?</t>
  </si>
  <si>
    <t>λ at 50 km</t>
  </si>
  <si>
    <t>λ at 60 km</t>
  </si>
  <si>
    <t>λ at 70 km</t>
  </si>
  <si>
    <t>Fixed 7 days for every SKU</t>
  </si>
  <si>
    <t>λ at 75 km</t>
  </si>
  <si>
    <t>λ at 80 km</t>
  </si>
  <si>
    <t>λ at 90 km</t>
  </si>
  <si>
    <t>λ at 100 km</t>
  </si>
  <si>
    <t>Fixed 14 days for every SKU</t>
  </si>
  <si>
    <t>Fixed 21 days for every SKU</t>
  </si>
  <si>
    <t>Radius (km)</t>
  </si>
  <si>
    <t>Average λ (orders/day)</t>
  </si>
  <si>
    <t>Average local orders in 30 days</t>
  </si>
  <si>
    <t>Fixed 30 days for every SKU</t>
  </si>
  <si>
    <t>Fixed 60 days for every SKU</t>
  </si>
  <si>
    <t>Orders per 1,000 km² per 30 days</t>
  </si>
  <si>
    <t>Extra ₹ per RTO going from 21 to 30 days / from 21 to 60 days</t>
  </si>
  <si>
    <t>Area growth vs 50 km</t>
  </si>
  <si>
    <t>6 · METHOD 3 — SÃO PAULO METRO: pooled elbow + two SKU groups</t>
  </si>
  <si>
    <t>Result = average of (a) the pooled São Paulo elbow, (b) 29 SKUs with ≥ 15 test RTOs (engine split), (c) 210 SKUs with ≥ 10 RTOs over full history (appendix B).</t>
  </si>
  <si>
    <t>Component</t>
  </si>
  <si>
    <t>How</t>
  </si>
  <si>
    <t>(a) Pooled São Paulo curve</t>
  </si>
  <si>
    <t>Demand growth vs 50 km</t>
  </si>
  <si>
    <t>Kneedle, section 2</t>
  </si>
  <si>
    <t>(b) 29 test-window SKUs (≥ 15 RTOs)</t>
  </si>
  <si>
    <t>Measured, RTO-weighted (engine output)</t>
  </si>
  <si>
    <t>(c) 210 history SKUs (≥ 10 RTOs)</t>
  </si>
  <si>
    <t>Demand growth exponent α (log-log slope)</t>
  </si>
  <si>
    <t>RTO-weighted, appendix B</t>
  </si>
  <si>
    <t>← well below 2 (area): doubling the radius gives far less than 4× the buyers</t>
  </si>
  <si>
    <t>METHOD 3 RESULT = average of (a), (b), (c), rounded</t>
  </si>
  <si>
    <t>9 · DELHI NCR CHECK: what a 70 km circle around Connaught Place covers</t>
  </si>
  <si>
    <t>Great-circle (haversine) distance from the hub. Every NCR satellite town sits inside the cap; the next ring (Panipat, Karnal, Alwar) is inter-city.</t>
  </si>
  <si>
    <t>Hub latitude (Connaught Place)</t>
  </si>
  <si>
    <t>Hub longitude</t>
  </si>
  <si>
    <t>Town</t>
  </si>
  <si>
    <t>Latitude</t>
  </si>
  <si>
    <t>Longitude</t>
  </si>
  <si>
    <t>Distance from hub (km)</t>
  </si>
  <si>
    <t>Noida</t>
  </si>
  <si>
    <t>6b · Distribution of the 210 SKU elbows</t>
  </si>
  <si>
    <t>Elbow from (days)</t>
  </si>
  <si>
    <t>to (days)</t>
  </si>
  <si>
    <t>Cumulative</t>
  </si>
  <si>
    <t>Ghaziabad</t>
  </si>
  <si>
    <t>Faridabad</t>
  </si>
  <si>
    <t>Gurugram</t>
  </si>
  <si>
    <t>Bahadurgarh</t>
  </si>
  <si>
    <t>Greater Noida</t>
  </si>
  <si>
    <t>Sonipat</t>
  </si>
  <si>
    <t>Palwal</t>
  </si>
  <si>
    <t>Hapur</t>
  </si>
  <si>
    <t>Meerut</t>
  </si>
  <si>
    <t>Rohtak</t>
  </si>
  <si>
    <t>Bulandshahr</t>
  </si>
  <si>
    <t>Rewari</t>
  </si>
  <si>
    <t>Panipat</t>
  </si>
  <si>
    <t>Karnal</t>
  </si>
  <si>
    <t>Alwar</t>
  </si>
  <si>
    <t>Towns inside the cap</t>
  </si>
  <si>
    <t>Simple mean / median elbow (210 SKUs)</t>
  </si>
  <si>
    <t>Farthest town inside the cap</t>
  </si>
  <si>
    <t>Share of SP RTOs whose SKU elbow is ≤ 21 days</t>
  </si>
  <si>
    <t>Area covered by the cap (km²)</t>
  </si>
  <si>
    <t>6c · São Paulo by category</t>
  </si>
  <si>
    <t>APPENDIX · São Paulo: the 209 SKU elbows behind Method 3</t>
  </si>
  <si>
    <t>Median elbow (d)</t>
  </si>
  <si>
    <t>Weighted elbow (d)</t>
  </si>
  <si>
    <t>Median day reaching 80%</t>
  </si>
  <si>
    <t>0152f69b6cf9…</t>
  </si>
  <si>
    <t>017692475c1c…</t>
  </si>
  <si>
    <t>027cdd14a677…</t>
  </si>
  <si>
    <t>054515fd15bc…</t>
  </si>
  <si>
    <t>06edb72f1e0c…</t>
  </si>
  <si>
    <t>0705b33fb285…</t>
  </si>
  <si>
    <t>07c055536ebf…</t>
  </si>
  <si>
    <t>08574b074924…</t>
  </si>
  <si>
    <t>0a4093a4af42…</t>
  </si>
  <si>
    <t>0a57f7d2c983…</t>
  </si>
  <si>
    <t>7 · MEESHO'S 45-DAY RULE: how many days are left to hold?</t>
  </si>
  <si>
    <t>0a5a41c678bc…</t>
  </si>
  <si>
    <t>0aabfb375647…</t>
  </si>
  <si>
    <t>consoles games</t>
  </si>
  <si>
    <t>Insight from the Meesho Connect session: a seller waits at most 45 days for an RTO; after that it is declared lost and the last node pays. Room to hold = 45 − NDR days − buffer − 2 × lane days (the unsold parcel must still get home).</t>
  </si>
  <si>
    <t>Lost-shipment limit</t>
  </si>
  <si>
    <t>0bcc3eeca39e…</t>
  </si>
  <si>
    <t>NDR re-attempt days</t>
  </si>
  <si>
    <t>0d85c435fd60…</t>
  </si>
  <si>
    <t>Safety buffer</t>
  </si>
  <si>
    <t>Policy hold cap</t>
  </si>
  <si>
    <t>0e2d365a247d…</t>
  </si>
  <si>
    <t>11875b30b495…</t>
  </si>
  <si>
    <t>11fd9d7ba552…</t>
  </si>
  <si>
    <t>Lane scenario</t>
  </si>
  <si>
    <t>One-way lane days</t>
  </si>
  <si>
    <t>Room to hold (days)</t>
  </si>
  <si>
    <t>Effective hold cap</t>
  </si>
  <si>
    <t>21-day cap fits?</t>
  </si>
  <si>
    <t>130482add9fd…</t>
  </si>
  <si>
    <t>Source</t>
  </si>
  <si>
    <t>Fast metro lane (intra-NCR)</t>
  </si>
  <si>
    <t>154e7e31ebfa…</t>
  </si>
  <si>
    <t>1613b819ab5d…</t>
  </si>
  <si>
    <t>165f86fe8b79…</t>
  </si>
  <si>
    <t>16ed6a6e3fce…</t>
  </si>
  <si>
    <t>173e9fe34bfe…</t>
  </si>
  <si>
    <t>books technical</t>
  </si>
  <si>
    <t>177d3d5bb9d4…</t>
  </si>
  <si>
    <t>18b0e642cbae…</t>
  </si>
  <si>
    <t>19421075ae0b…</t>
  </si>
  <si>
    <t>19c91ef95d50…</t>
  </si>
  <si>
    <t>1ec486885049…</t>
  </si>
  <si>
    <t>Assumption for Delhi NCR; confirm with Meesho</t>
  </si>
  <si>
    <t>2028bf1b01ca…</t>
  </si>
  <si>
    <t>Olist fastest quarter (p25)</t>
  </si>
  <si>
    <t>2136c70bbe72…</t>
  </si>
  <si>
    <t>22c5ddc22ea8…</t>
  </si>
  <si>
    <t>Olist lane times</t>
  </si>
  <si>
    <t>Olist median lane</t>
  </si>
  <si>
    <t>Olist lane times (engine default)</t>
  </si>
  <si>
    <t>24c66f106f64…</t>
  </si>
  <si>
    <t>Mentor estimate</t>
  </si>
  <si>
    <t>25f86162fee1…</t>
  </si>
  <si>
    <t>281bbfe70848…</t>
  </si>
  <si>
    <t>Meesho mentor call: ~10 days each way</t>
  </si>
  <si>
    <t>29427de7f8a9…</t>
  </si>
  <si>
    <t>Olist slowest quarter (p75)</t>
  </si>
  <si>
    <t>2948658cb6ab…</t>
  </si>
  <si>
    <t>2a2d22ae30e0…</t>
  </si>
  <si>
    <t>Room on the median lane</t>
  </si>
  <si>
    <t>2b4609f8948b…</t>
  </si>
  <si>
    <t>3354a4e684f5…</t>
  </si>
  <si>
    <t>35afc973633a…</t>
  </si>
  <si>
    <t>Share of Olist RTOs with ≥ 21 days of room</t>
  </si>
  <si>
    <t>Engine: per-RTO room from its own lane; the rest get a shorter cap automatically</t>
  </si>
  <si>
    <t>363218ba55c6…</t>
  </si>
  <si>
    <t>Final rule per RTO</t>
  </si>
  <si>
    <t>hold ≤ min(21 days, own 45-day room)</t>
  </si>
  <si>
    <t>368c6c730842…</t>
  </si>
  <si>
    <t>36f60d45225e…</t>
  </si>
  <si>
    <t>8 · PER-SKU CHECK AT 70 km: does each top-20 SKU pay at a 21-day hold?</t>
  </si>
  <si>
    <t>386486367c1f…</t>
  </si>
  <si>
    <t>389d119b48cf…</t>
  </si>
  <si>
    <t>Replay (2017–18 orders, 70 km circle). Saving per held RTO = P(sold by cap) × ₹120 − ₹25 − storage × E[days on shelf]. Negative-binomial model: P(t) = 1 − (1 + λt / r)^(−r).</t>
  </si>
  <si>
    <t>3cb39171fd36…</t>
  </si>
  <si>
    <t>Demand λ (orders/day, 70 km)</t>
  </si>
  <si>
    <t>Burstiness r</t>
  </si>
  <si>
    <t>Observed P(sold by cap)</t>
  </si>
  <si>
    <t>NB model P(sold by cap)</t>
  </si>
  <si>
    <t>3dd2a17168ec…</t>
  </si>
  <si>
    <t>E[days on shelf]</t>
  </si>
  <si>
    <t>Decision</t>
  </si>
  <si>
    <t>Variance ÷ mean (30 d)</t>
  </si>
  <si>
    <t>3e4176d54561…</t>
  </si>
  <si>
    <t>luggage accessories</t>
  </si>
  <si>
    <t>3f14d740544f…</t>
  </si>
  <si>
    <t>3fbc0ef74595…</t>
  </si>
  <si>
    <t>4178e16324fd…</t>
  </si>
  <si>
    <t>41c24b8ce92d…</t>
  </si>
  <si>
    <t>422879e10f46…</t>
  </si>
  <si>
    <t>4298b7e67dc3…</t>
  </si>
  <si>
    <t>42a2c92a0979…</t>
  </si>
  <si>
    <t>431d674f9a4f…</t>
  </si>
  <si>
    <t>43423cdffde7…</t>
  </si>
  <si>
    <t>437c05a395e9…</t>
  </si>
  <si>
    <t>4520766ec412…</t>
  </si>
  <si>
    <t>461f43be3bdf…</t>
  </si>
  <si>
    <t>4724ffa427f3…</t>
  </si>
  <si>
    <t>473795a355d2…</t>
  </si>
  <si>
    <t>4914f8796af2…</t>
  </si>
  <si>
    <t>4aa6014eceb6…</t>
  </si>
  <si>
    <t>4b96786612eb…</t>
  </si>
  <si>
    <t>4fcb3d9a5f48…</t>
  </si>
  <si>
    <t>4fe644d766c7…</t>
  </si>
  <si>
    <t>art</t>
  </si>
  <si>
    <t>51f876eb62be…</t>
  </si>
  <si>
    <t>53759a2ecdda…</t>
  </si>
  <si>
    <t>53b36df67ebb…</t>
  </si>
  <si>
    <t>54d9ac713e25…</t>
  </si>
  <si>
    <t>553e0e7590d3…</t>
  </si>
  <si>
    <t>55b71bf300a2…</t>
  </si>
  <si>
    <t>57f2bc497c1a…</t>
  </si>
  <si>
    <t>583f158587cd…</t>
  </si>
  <si>
    <t>595fac2a385a…</t>
  </si>
  <si>
    <t>5a6e53c3b4e8…</t>
  </si>
  <si>
    <t>5a848e4ab52f…</t>
  </si>
  <si>
    <t>5b226d7c52f8…</t>
  </si>
  <si>
    <t>5bfc7506459a…</t>
  </si>
  <si>
    <t>5f504b3a1c75…</t>
  </si>
  <si>
    <t>601a360bd2a9…</t>
  </si>
  <si>
    <t>617186c3d97e…</t>
  </si>
  <si>
    <t>629e019a6f29…</t>
  </si>
  <si>
    <t>634256dbcd18…</t>
  </si>
  <si>
    <t>63de2743d05a…</t>
  </si>
  <si>
    <t>64fb265487de…</t>
  </si>
  <si>
    <t>65266b2da20d…</t>
  </si>
  <si>
    <t>656e0eca68dc…</t>
  </si>
  <si>
    <t>69455f41626a…</t>
  </si>
  <si>
    <t>6adab2293748…</t>
  </si>
  <si>
    <t>6c3effec7c8d…</t>
  </si>
  <si>
    <t>6cc44821f36f…</t>
  </si>
  <si>
    <t>6f3b5b605d91…</t>
  </si>
  <si>
    <t>72172e982e8b…</t>
  </si>
  <si>
    <t>727a46f0b58a…</t>
  </si>
  <si>
    <t>73326828aa5e…</t>
  </si>
  <si>
    <t>food</t>
  </si>
  <si>
    <t>7340a3839a1d…</t>
  </si>
  <si>
    <t>75d6b6963340…</t>
  </si>
  <si>
    <t>764292b2b0f7…</t>
  </si>
  <si>
    <t>777d2e438a1b…</t>
  </si>
  <si>
    <t>781afe929e30…</t>
  </si>
  <si>
    <t>78efe838c04b…</t>
  </si>
  <si>
    <t>7a1078163720…</t>
  </si>
  <si>
    <t>7c1bd920dbdf…</t>
  </si>
  <si>
    <t>7c4a8bec217d…</t>
  </si>
  <si>
    <t>audio</t>
  </si>
  <si>
    <t>7e0dc102074f…</t>
  </si>
  <si>
    <t>7f4e034245e4…</t>
  </si>
  <si>
    <t>7f72a8900b3d…</t>
  </si>
  <si>
    <t>7fab1a1472fd…</t>
  </si>
  <si>
    <t>7fb04722aba7…</t>
  </si>
  <si>
    <t>82c51c393850…</t>
  </si>
  <si>
    <t>construction tools safety</t>
  </si>
  <si>
    <t>82e4ad16521c…</t>
  </si>
  <si>
    <t>8317b177579d…</t>
  </si>
  <si>
    <t>84f456958365…</t>
  </si>
  <si>
    <t>8562e2c780a3…</t>
  </si>
  <si>
    <t>87cb507e0daa…</t>
  </si>
  <si>
    <t>880be32f4db1…</t>
  </si>
  <si>
    <t>8844bd4b8ca8…</t>
  </si>
  <si>
    <t>89321f94e35f…</t>
  </si>
  <si>
    <t>89b121bee266…</t>
  </si>
  <si>
    <t>8c292ca193d3…</t>
  </si>
  <si>
    <t>8c5876b1c776…</t>
  </si>
  <si>
    <t>8c591ab0ca51…</t>
  </si>
  <si>
    <t>93c902b021a9…</t>
  </si>
  <si>
    <t>9545d45c3744…</t>
  </si>
  <si>
    <t>99a4788cb248…</t>
  </si>
  <si>
    <t>9f1c3e71d568…</t>
  </si>
  <si>
    <t>a0b7d5a992cc…</t>
  </si>
  <si>
    <t>a12c9204f6f9…</t>
  </si>
  <si>
    <t>a298a105818d…</t>
  </si>
  <si>
    <t>a50acd33ba7a…</t>
  </si>
  <si>
    <t>a5341e3f8155…</t>
  </si>
  <si>
    <t>a59fb60fddcc…</t>
  </si>
  <si>
    <t>a62e25e09e05…</t>
  </si>
  <si>
    <t>a92930c32794…</t>
  </si>
  <si>
    <t>aa280035c50b…</t>
  </si>
  <si>
    <t>aadff8848674…</t>
  </si>
  <si>
    <t>ab1f9387c062…</t>
  </si>
  <si>
    <t>abc3432ff825…</t>
  </si>
  <si>
    <t>aca2eb7d00ea…</t>
  </si>
  <si>
    <t>af2d506fb01b…</t>
  </si>
  <si>
    <t>b0961721fd83…</t>
  </si>
  <si>
    <t>b1d207586fca…</t>
  </si>
  <si>
    <t>b5e13c9a3531…</t>
  </si>
  <si>
    <t>b623b7cb05ee…</t>
  </si>
  <si>
    <t>b84520a57891…</t>
  </si>
  <si>
    <t>bb42f37fc3d9…</t>
  </si>
  <si>
    <t>bb50f2e236e5…</t>
  </si>
  <si>
    <t>bd6e6fce9ada…</t>
  </si>
  <si>
    <t>bdb4be6ce2f7…</t>
  </si>
  <si>
    <t>bee2e070c39f…</t>
  </si>
  <si>
    <t>c211ff3068fc…</t>
  </si>
  <si>
    <t>c3ba4e8d3cb3…</t>
  </si>
  <si>
    <t>c6336fa91fbd…</t>
  </si>
  <si>
    <t>c6dd917a0be2…</t>
  </si>
  <si>
    <t>c72edc98e7d7…</t>
  </si>
  <si>
    <t>c9c6fde71157…</t>
  </si>
  <si>
    <t>ca5c92396255…</t>
  </si>
  <si>
    <t>cac9e5692471…</t>
  </si>
  <si>
    <t>cadb69af336c…</t>
  </si>
  <si>
    <t>cd48f265a63e…</t>
  </si>
  <si>
    <t>drinks</t>
  </si>
  <si>
    <t>cec09725da5e…</t>
  </si>
  <si>
    <t>d017a2151d54…</t>
  </si>
  <si>
    <t>unknown (no category in data)</t>
  </si>
  <si>
    <t>d04857e7b4b7…</t>
  </si>
  <si>
    <t>d04bbac48960…</t>
  </si>
  <si>
    <t>industry commerce and business</t>
  </si>
  <si>
    <t>d1c427060a0f…</t>
  </si>
  <si>
    <t>d285360f29ac…</t>
  </si>
  <si>
    <t>d2f5484cbffe…</t>
  </si>
  <si>
    <t>d3c044bd42d8…</t>
  </si>
  <si>
    <t>d5991653e037…</t>
  </si>
  <si>
    <t>d5b703c271f4…</t>
  </si>
  <si>
    <t>d63c1011f49d…</t>
  </si>
  <si>
    <t>d99526b1e4fa…</t>
  </si>
  <si>
    <t>dab2413ead0e…</t>
  </si>
  <si>
    <t>db5efde3ad0c…</t>
  </si>
  <si>
    <t>dbb67791e405…</t>
  </si>
  <si>
    <t>dc52f0f5d3ec…</t>
  </si>
  <si>
    <t>e03102efbc22…</t>
  </si>
  <si>
    <t>e0cf79767c5b…</t>
  </si>
  <si>
    <t>e0d64dcfaa3b…</t>
  </si>
  <si>
    <t>e1da6ab77f48…</t>
  </si>
  <si>
    <t>e44f675b60b3…</t>
  </si>
  <si>
    <t>e53e557d5a15…</t>
  </si>
  <si>
    <t>e59dd207c69d…</t>
  </si>
  <si>
    <t>e5ae72c62ebf…</t>
  </si>
  <si>
    <t>e67307ff0f15…</t>
  </si>
  <si>
    <t>e7cc48a9daff…</t>
  </si>
  <si>
    <t>e9def91e99c8…</t>
  </si>
  <si>
    <t>ec2d43cc5976…</t>
  </si>
  <si>
    <t>ee0c1cf2fbea…</t>
  </si>
  <si>
    <t>ee406bf28024…</t>
  </si>
  <si>
    <t>f1c7f353075c…</t>
  </si>
  <si>
    <t>f1fe595ee7ef…</t>
  </si>
  <si>
    <t>f35927953ed8…</t>
  </si>
  <si>
    <t>books general interest</t>
  </si>
  <si>
    <t>f39a8b27ce90…</t>
  </si>
  <si>
    <t>f40876e0ef3c…</t>
  </si>
  <si>
    <t>f4d705aa95cc…</t>
  </si>
  <si>
    <t>f4f67ccaece9…</t>
  </si>
  <si>
    <t>f71973c922cc…</t>
  </si>
  <si>
    <t>f77dd338d9f7…</t>
  </si>
  <si>
    <t>f7a17d2c51d9…</t>
  </si>
  <si>
    <t>f819f0c84a64…</t>
  </si>
  <si>
    <t>fb55982be901…</t>
  </si>
  <si>
    <t>fbc1488c1a1e…</t>
  </si>
  <si>
    <t>fc1d8637c026…</t>
  </si>
  <si>
    <t>fe077ec80df6…</t>
  </si>
  <si>
    <t>fe75529a267b…</t>
  </si>
  <si>
    <t>ffc9caf33e2d…</t>
  </si>
  <si>
    <t>SKUs worth holding at the 21-day cap</t>
  </si>
  <si>
    <t>Expected ₹ saved per 100 RTOs of these SKUs (HOLD ones held)</t>
  </si>
  <si>
    <t>8b · Day by day for one SKU (pick a rank in the yellow cell)</t>
  </si>
  <si>
    <t>SKU rank (1–20)</t>
  </si>
  <si>
    <t>Its stop day (last day the extra chance beats the daily cost)</t>
  </si>
  <si>
    <t>← NB rule: hold while λ ÷ (1 + λt/r) × ₹120 &gt; daily storage</t>
  </si>
  <si>
    <t>Day</t>
  </si>
  <si>
    <t>Observed P(sold by day)</t>
  </si>
  <si>
    <t>NB model P(sold by day)</t>
  </si>
  <si>
    <t>P required to hold that long</t>
  </si>
  <si>
    <t>Chance it sells on this day if not yet sold</t>
  </si>
  <si>
    <t>Value of the extra day (₹)</t>
  </si>
  <si>
    <t>APPENDIX A · Method 1: 75 single products (≥ 20 RTOs)</t>
  </si>
  <si>
    <t>Product #</t>
  </si>
  <si>
    <t>product #875</t>
  </si>
  <si>
    <t>product #1302</t>
  </si>
  <si>
    <t>product #1497</t>
  </si>
  <si>
    <t>product #2577</t>
  </si>
  <si>
    <t>product #2878</t>
  </si>
  <si>
    <t>product #3022</t>
  </si>
  <si>
    <t>product #3368</t>
  </si>
  <si>
    <t>product #4924</t>
  </si>
  <si>
    <t>product #5370</t>
  </si>
  <si>
    <t>product #5610</t>
  </si>
  <si>
    <t>product #6588</t>
  </si>
  <si>
    <t>product #6882</t>
  </si>
  <si>
    <t>product #6940</t>
  </si>
  <si>
    <t>product #6979</t>
  </si>
  <si>
    <t>product #7259</t>
  </si>
  <si>
    <t>product #7785</t>
  </si>
  <si>
    <t>product #7930</t>
  </si>
  <si>
    <t>product #8101</t>
  </si>
  <si>
    <t>product #8174</t>
  </si>
  <si>
    <t>product #8437</t>
  </si>
  <si>
    <t>product #8485</t>
  </si>
  <si>
    <t>product #8548</t>
  </si>
  <si>
    <t>product #8629</t>
  </si>
  <si>
    <t>product #8654</t>
  </si>
  <si>
    <t>product #8850</t>
  </si>
  <si>
    <t>product #8983</t>
  </si>
  <si>
    <t>product #10223</t>
  </si>
  <si>
    <t>product #10582</t>
  </si>
  <si>
    <t>product #10670</t>
  </si>
  <si>
    <t>product #10697</t>
  </si>
  <si>
    <t>product #11417</t>
  </si>
  <si>
    <t>product #11563</t>
  </si>
  <si>
    <t>product #12559</t>
  </si>
  <si>
    <t>product #12636</t>
  </si>
  <si>
    <t>product #14145</t>
  </si>
  <si>
    <t>product #14596</t>
  </si>
  <si>
    <t>product #15343</t>
  </si>
  <si>
    <t>product #15438</t>
  </si>
  <si>
    <t>product #15584</t>
  </si>
  <si>
    <t>product #15836</t>
  </si>
  <si>
    <t>product #16912</t>
  </si>
  <si>
    <t>product #16955</t>
  </si>
  <si>
    <t>product #17391</t>
  </si>
  <si>
    <t>product #17432</t>
  </si>
  <si>
    <t>product #17741</t>
  </si>
  <si>
    <t>product #18107</t>
  </si>
  <si>
    <t>product #18682</t>
  </si>
  <si>
    <t>product #18962</t>
  </si>
  <si>
    <t>product #19091</t>
  </si>
  <si>
    <t>product #19433</t>
  </si>
  <si>
    <t>product #20974</t>
  </si>
  <si>
    <t>product #21338</t>
  </si>
  <si>
    <t>product #21575</t>
  </si>
  <si>
    <t>product #21774</t>
  </si>
  <si>
    <t>product #23716</t>
  </si>
  <si>
    <t>product #24157</t>
  </si>
  <si>
    <t>product #24784</t>
  </si>
  <si>
    <t>product #25587</t>
  </si>
  <si>
    <t>product #25716</t>
  </si>
  <si>
    <t>product #26035</t>
  </si>
  <si>
    <t>product #26421</t>
  </si>
  <si>
    <t>product #26441</t>
  </si>
  <si>
    <t>product #26444</t>
  </si>
  <si>
    <t>product #26623</t>
  </si>
  <si>
    <t>product #26711</t>
  </si>
  <si>
    <t>product #27741</t>
  </si>
  <si>
    <t>product #28162</t>
  </si>
  <si>
    <t>product #28518</t>
  </si>
  <si>
    <t>product #28522</t>
  </si>
  <si>
    <t>product #28934</t>
  </si>
  <si>
    <t>product #29056</t>
  </si>
  <si>
    <t>product #29106</t>
  </si>
  <si>
    <t>product #30196</t>
  </si>
  <si>
    <t>product #31517</t>
  </si>
  <si>
    <t>product #31933</t>
  </si>
  <si>
    <t>APPENDIX B · Method 3: 210 São Paulo SKUs (≥ 10 RTOs, full history)</t>
  </si>
  <si>
    <t>b36f3c918c91…</t>
  </si>
  <si>
    <t>APPENDIX C · Replay at 70 km: share of each top-20 SKU's RTOs resold by day 0–45</t>
  </si>
  <si>
    <t>Columns = days held; values are measured shares (blue).</t>
  </si>
  <si>
    <t>λ</t>
  </si>
  <si>
    <t>r</t>
  </si>
  <si>
    <t>Cases</t>
  </si>
  <si>
    <t>Avg orders 30 d</t>
  </si>
  <si>
    <t>Var 30 d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</si>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</sst>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&quot; d&quot;"/>
    <numFmt numFmtId="165" formatCode="0&quot; km&quot;"/>
    <numFmt numFmtId="166" formatCode="0.0%;[RED]\-0.0%;\–"/>
    <numFmt numFmtId="167" formatCode="\₹#,##0.00;[RED]&quot;-₹&quot;#,##0.00;\–"/>
    <numFmt numFmtId="168" formatCode="\+0%;\-0%;0%"/>
    <numFmt numFmtId="169" formatCode="0.000"/>
    <numFmt numFmtId="170" formatCode="0.0&quot; km&quot;"/>
    <numFmt numFmtId="171" formatCode="0.0"/>
    <numFmt numFmtId="172" formatCode="0.0\×"/>
    <numFmt numFmtId="173" formatCode="\₹#,##0;[RED]&quot;-₹&quot;#,##0;\–"/>
    <numFmt numFmtId="174" formatCode="0.0&quot; d&quot;"/>
    <numFmt numFmtId="175" formatCode="0;\-0;0"/>
    <numFmt numFmtId="176" formatCode="0.0000"/>
  </numFmts>
  <fonts count="22">
    <font>
      <sz val="11.0"/>
      <color theme="1"/>
      <name val="Calibri"/>
      <scheme val="minor"/>
    </font>
    <font>
      <b/>
      <sz val="18.0"/>
      <color rgb="FF6A1747"/>
      <name val="Arial"/>
    </font>
    <font>
      <sz val="10.0"/>
      <color rgb="FF7A6F76"/>
      <name val="Arial"/>
    </font>
    <font>
      <b/>
      <sz val="12.0"/>
      <color rgb="FFFFFFFF"/>
      <name val="Arial"/>
    </font>
    <font>
      <sz val="11.0"/>
      <color theme="1"/>
      <name val="Calibri"/>
    </font>
    <font>
      <i/>
      <sz val="9.0"/>
      <color rgb="FF7A6F76"/>
      <name val="Arial"/>
    </font>
    <font>
      <b/>
      <sz val="9.0"/>
      <color rgb="FF6A1747"/>
      <name val="Arial"/>
    </font>
    <font/>
    <font>
      <sz val="10.0"/>
      <color rgb="FF2B1A24"/>
      <name val="Arial"/>
    </font>
    <font>
      <sz val="10.0"/>
      <color rgb="FF000000"/>
      <name val="Arial"/>
    </font>
    <font>
      <sz val="8.0"/>
      <color rgb="FFBBBBBB"/>
      <name val="Arial"/>
    </font>
    <font>
      <b/>
      <sz val="10.0"/>
      <color rgb="FF2B1A24"/>
      <name val="Arial"/>
    </font>
    <font>
      <b/>
      <sz val="13.0"/>
      <color theme="1"/>
      <name val="Arial"/>
    </font>
    <font>
      <sz val="10.0"/>
      <color rgb="FF008000"/>
      <name val="Arial"/>
    </font>
    <font>
      <sz val="10.0"/>
      <color rgb="FF0000FF"/>
      <name val="Arial"/>
    </font>
    <font>
      <b/>
      <sz val="11.0"/>
      <color rgb="FF000000"/>
      <name val="Arial"/>
    </font>
    <font>
      <b/>
      <sz val="10.0"/>
      <color rgb="FF6A1747"/>
      <name val="Arial"/>
    </font>
    <font>
      <b/>
      <color theme="1"/>
      <name val="Calibri"/>
      <scheme val="minor"/>
    </font>
    <font>
      <b/>
      <sz val="10.0"/>
      <color rgb="FF0000FF"/>
      <name val="Arial"/>
    </font>
    <font>
      <b/>
      <sz val="10.0"/>
      <color rgb="FF000000"/>
      <name val="Arial"/>
    </font>
    <font>
      <b/>
      <sz val="8.0"/>
      <color rgb="FF6A1747"/>
      <name val="Arial"/>
    </font>
    <font>
      <sz val="8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A1747"/>
        <bgColor rgb="FF6A1747"/>
      </patternFill>
    </fill>
    <fill>
      <patternFill patternType="solid">
        <fgColor rgb="FFEADCE5"/>
        <bgColor rgb="FFEADCE5"/>
      </patternFill>
    </fill>
    <fill>
      <patternFill patternType="solid">
        <fgColor rgb="FFFFF2A8"/>
        <bgColor rgb="FFFFF2A8"/>
      </patternFill>
    </fill>
    <fill>
      <patternFill patternType="solid">
        <fgColor rgb="FFEEF4FC"/>
        <bgColor rgb="FFEEF4FC"/>
      </patternFill>
    </fill>
    <fill>
      <patternFill patternType="solid">
        <fgColor rgb="FFF4E8EF"/>
        <bgColor rgb="FFF4E8EF"/>
      </patternFill>
    </fill>
  </fills>
  <borders count="8">
    <border/>
    <border>
      <left/>
      <right/>
      <top/>
      <bottom/>
    </border>
    <border>
      <left/>
      <right/>
      <top/>
      <bottom style="medium">
        <color rgb="FF6A1747"/>
      </bottom>
    </border>
    <border>
      <left/>
      <top/>
      <bottom style="medium">
        <color rgb="FF6A1747"/>
      </bottom>
    </border>
    <border>
      <top/>
      <bottom style="medium">
        <color rgb="FF6A1747"/>
      </bottom>
    </border>
    <border>
      <right/>
      <top/>
      <bottom style="medium">
        <color rgb="FF6A1747"/>
      </bottom>
    </border>
    <border>
      <bottom style="hair">
        <color rgb="FFE6DCE2"/>
      </bottom>
    </border>
    <border>
      <left/>
      <right/>
      <top/>
      <bottom style="hair">
        <color rgb="FFE6DCE2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2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2" fillId="3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0" fontId="8" numFmtId="0" xfId="0" applyAlignment="1" applyBorder="1" applyFont="1">
      <alignment shrinkToFit="0" vertical="center" wrapText="0"/>
    </xf>
    <xf borderId="6" fillId="0" fontId="9" numFmtId="164" xfId="0" applyAlignment="1" applyBorder="1" applyFont="1" applyNumberFormat="1">
      <alignment horizontal="right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6" fillId="0" fontId="11" numFmtId="0" xfId="0" applyAlignment="1" applyBorder="1" applyFont="1">
      <alignment shrinkToFit="0" vertical="center" wrapText="0"/>
    </xf>
    <xf borderId="7" fillId="4" fontId="12" numFmtId="164" xfId="0" applyAlignment="1" applyBorder="1" applyFill="1" applyFont="1" applyNumberFormat="1">
      <alignment horizontal="right" shrinkToFit="0" vertical="center" wrapText="0"/>
    </xf>
    <xf borderId="6" fillId="0" fontId="9" numFmtId="0" xfId="0" applyAlignment="1" applyBorder="1" applyFont="1">
      <alignment horizontal="right" shrinkToFit="0" vertical="center" wrapText="0"/>
    </xf>
    <xf borderId="6" fillId="0" fontId="9" numFmtId="165" xfId="0" applyAlignment="1" applyBorder="1" applyFont="1" applyNumberFormat="1">
      <alignment horizontal="right" shrinkToFit="0" vertical="center" wrapText="0"/>
    </xf>
    <xf borderId="0" fillId="0" fontId="10" numFmtId="0" xfId="0" applyAlignment="1" applyFont="1">
      <alignment shrinkToFit="0" vertical="bottom" wrapText="0"/>
    </xf>
    <xf borderId="6" fillId="0" fontId="13" numFmtId="3" xfId="0" applyAlignment="1" applyBorder="1" applyFont="1" applyNumberFormat="1">
      <alignment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0" fillId="0" fontId="10" numFmtId="165" xfId="0" applyAlignment="1" applyFont="1" applyNumberFormat="1">
      <alignment shrinkToFit="0" vertical="center" wrapText="0"/>
    </xf>
    <xf borderId="6" fillId="0" fontId="13" numFmtId="2" xfId="0" applyAlignment="1" applyBorder="1" applyFont="1" applyNumberFormat="1">
      <alignment shrinkToFit="0" vertical="center" wrapText="0"/>
    </xf>
    <xf borderId="7" fillId="4" fontId="12" numFmtId="165" xfId="0" applyAlignment="1" applyBorder="1" applyFill="1" applyFont="1" applyNumberFormat="1">
      <alignment horizontal="right" shrinkToFit="0" vertical="center" wrapText="0"/>
    </xf>
    <xf borderId="7" fillId="5" fontId="14" numFmtId="164" xfId="0" applyAlignment="1" applyBorder="1" applyFill="1" applyFont="1" applyNumberFormat="1">
      <alignment horizontal="center" shrinkToFit="0" vertical="center" wrapText="0"/>
    </xf>
    <xf borderId="6" fillId="0" fontId="9" numFmtId="166" xfId="0" applyAlignment="1" applyBorder="1" applyFont="1" applyNumberFormat="1">
      <alignment horizontal="right" shrinkToFit="0" vertical="center" wrapText="0"/>
    </xf>
    <xf borderId="6" fillId="0" fontId="9" numFmtId="166" xfId="0" applyAlignment="1" applyBorder="1" applyFont="1" applyNumberFormat="1">
      <alignment shrinkToFit="0" vertical="center" wrapText="0"/>
    </xf>
    <xf borderId="7" fillId="5" fontId="14" numFmtId="167" xfId="0" applyAlignment="1" applyBorder="1" applyFill="1" applyFont="1" applyNumberFormat="1">
      <alignment shrinkToFit="0" vertical="center" wrapText="0"/>
    </xf>
    <xf borderId="6" fillId="0" fontId="9" numFmtId="168" xfId="0" applyAlignment="1" applyBorder="1" applyFont="1" applyNumberFormat="1">
      <alignment horizontal="right" shrinkToFit="0" vertical="center" wrapText="0"/>
    </xf>
    <xf borderId="6" fillId="0" fontId="9" numFmtId="167" xfId="0" applyAlignment="1" applyBorder="1" applyFont="1" applyNumberFormat="1">
      <alignment shrinkToFit="0" vertical="center" wrapText="0"/>
    </xf>
    <xf borderId="6" fillId="0" fontId="9" numFmtId="169" xfId="0" applyAlignment="1" applyBorder="1" applyFont="1" applyNumberFormat="1">
      <alignment shrinkToFit="0" vertical="center" wrapText="0"/>
    </xf>
    <xf borderId="7" fillId="5" fontId="14" numFmtId="3" xfId="0" applyAlignment="1" applyBorder="1" applyFill="1" applyFont="1" applyNumberFormat="1">
      <alignment horizontal="right" shrinkToFit="0" vertical="center" wrapText="0"/>
    </xf>
    <xf borderId="7" fillId="5" fontId="14" numFmtId="166" xfId="0" applyAlignment="1" applyBorder="1" applyFill="1" applyFont="1" applyNumberFormat="1">
      <alignment shrinkToFit="0" vertical="center" wrapText="0"/>
    </xf>
    <xf borderId="6" fillId="0" fontId="9" numFmtId="3" xfId="0" applyAlignment="1" applyBorder="1" applyFont="1" applyNumberFormat="1">
      <alignment horizontal="right" shrinkToFit="0" vertical="center" wrapText="0"/>
    </xf>
    <xf borderId="6" fillId="0" fontId="9" numFmtId="2" xfId="0" applyAlignment="1" applyBorder="1" applyFont="1" applyNumberFormat="1">
      <alignment horizontal="right" shrinkToFit="0" vertical="center" wrapText="0"/>
    </xf>
    <xf borderId="7" fillId="5" fontId="14" numFmtId="2" xfId="0" applyAlignment="1" applyBorder="1" applyFill="1" applyFont="1" applyNumberFormat="1">
      <alignment horizontal="right" shrinkToFit="0" vertical="center" wrapText="0"/>
    </xf>
    <xf borderId="7" fillId="5" fontId="14" numFmtId="165" xfId="0" applyAlignment="1" applyBorder="1" applyFill="1" applyFont="1" applyNumberFormat="1">
      <alignment horizontal="center" shrinkToFit="0" vertical="center" wrapText="0"/>
    </xf>
    <xf borderId="7" fillId="4" fontId="15" numFmtId="166" xfId="0" applyAlignment="1" applyBorder="1" applyFill="1" applyFont="1" applyNumberFormat="1">
      <alignment shrinkToFit="0" vertical="center" wrapText="0"/>
    </xf>
    <xf borderId="6" fillId="0" fontId="9" numFmtId="165" xfId="0" applyAlignment="1" applyBorder="1" applyFont="1" applyNumberFormat="1">
      <alignment shrinkToFit="0" vertical="center" wrapText="0"/>
    </xf>
    <xf borderId="1" fillId="6" fontId="16" numFmtId="0" xfId="0" applyAlignment="1" applyBorder="1" applyFill="1" applyFont="1">
      <alignment shrinkToFit="0" vertical="center" wrapText="0"/>
    </xf>
    <xf borderId="1" fillId="6" fontId="4" numFmtId="0" xfId="0" applyAlignment="1" applyBorder="1" applyFill="1" applyFont="1">
      <alignment shrinkToFit="0" vertical="bottom" wrapText="0"/>
    </xf>
    <xf borderId="7" fillId="4" fontId="15" numFmtId="165" xfId="0" applyAlignment="1" applyBorder="1" applyFill="1" applyFont="1" applyNumberFormat="1">
      <alignment shrinkToFit="0" vertical="center" wrapText="0"/>
    </xf>
    <xf borderId="0" fillId="0" fontId="17" numFmtId="0" xfId="0" applyFont="1"/>
    <xf borderId="7" fillId="4" fontId="18" numFmtId="164" xfId="0" applyAlignment="1" applyBorder="1" applyFill="1" applyFont="1" applyNumberFormat="1">
      <alignment horizontal="center" shrinkToFit="0" vertical="center" wrapText="0"/>
    </xf>
    <xf borderId="7" fillId="4" fontId="19" numFmtId="166" xfId="0" applyAlignment="1" applyBorder="1" applyFill="1" applyFont="1" applyNumberFormat="1">
      <alignment shrinkToFit="0" vertical="center" wrapText="0"/>
    </xf>
    <xf borderId="7" fillId="4" fontId="18" numFmtId="167" xfId="0" applyAlignment="1" applyBorder="1" applyFill="1" applyFont="1" applyNumberFormat="1">
      <alignment shrinkToFit="0" vertical="center" wrapText="0"/>
    </xf>
    <xf borderId="7" fillId="4" fontId="19" numFmtId="167" xfId="0" applyAlignment="1" applyBorder="1" applyFill="1" applyFont="1" applyNumberFormat="1">
      <alignment shrinkToFit="0" vertical="center" wrapText="0"/>
    </xf>
    <xf borderId="7" fillId="4" fontId="19" numFmtId="169" xfId="0" applyAlignment="1" applyBorder="1" applyFill="1" applyFont="1" applyNumberFormat="1">
      <alignment shrinkToFit="0" vertical="center" wrapText="0"/>
    </xf>
    <xf borderId="7" fillId="4" fontId="18" numFmtId="166" xfId="0" applyAlignment="1" applyBorder="1" applyFill="1" applyFont="1" applyNumberFormat="1">
      <alignment shrinkToFit="0" vertical="center" wrapText="0"/>
    </xf>
    <xf borderId="7" fillId="5" fontId="14" numFmtId="3" xfId="0" applyAlignment="1" applyBorder="1" applyFill="1" applyFont="1" applyNumberFormat="1">
      <alignment shrinkToFit="0" vertical="center" wrapText="0"/>
    </xf>
    <xf borderId="6" fillId="0" fontId="9" numFmtId="170" xfId="0" applyAlignment="1" applyBorder="1" applyFont="1" applyNumberFormat="1">
      <alignment shrinkToFit="0" vertical="center" wrapText="0"/>
    </xf>
    <xf borderId="7" fillId="5" fontId="14" numFmtId="165" xfId="0" applyAlignment="1" applyBorder="1" applyFill="1" applyFont="1" applyNumberFormat="1">
      <alignment shrinkToFit="0" vertical="center" wrapText="0"/>
    </xf>
    <xf borderId="7" fillId="5" fontId="14" numFmtId="3" xfId="0" applyAlignment="1" applyBorder="1" applyFill="1" applyFont="1" applyNumberForma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6" fillId="0" fontId="9" numFmtId="3" xfId="0" applyAlignment="1" applyBorder="1" applyFont="1" applyNumberFormat="1">
      <alignment shrinkToFit="0" vertical="center" wrapText="0"/>
    </xf>
    <xf borderId="7" fillId="5" fontId="14" numFmtId="171" xfId="0" applyAlignment="1" applyBorder="1" applyFill="1" applyFont="1" applyNumberFormat="1">
      <alignment shrinkToFit="0" vertical="center" wrapText="0"/>
    </xf>
    <xf borderId="7" fillId="5" fontId="14" numFmtId="170" xfId="0" applyAlignment="1" applyBorder="1" applyFill="1" applyFont="1" applyNumberFormat="1">
      <alignment shrinkToFit="0" vertical="center" wrapText="0"/>
    </xf>
    <xf borderId="7" fillId="5" fontId="14" numFmtId="2" xfId="0" applyAlignment="1" applyBorder="1" applyFill="1" applyFont="1" applyNumberFormat="1">
      <alignment shrinkToFit="0" vertical="center" wrapText="0"/>
    </xf>
    <xf borderId="6" fillId="0" fontId="9" numFmtId="168" xfId="0" applyAlignment="1" applyBorder="1" applyFont="1" applyNumberFormat="1">
      <alignment shrinkToFit="0" vertical="center" wrapText="0"/>
    </xf>
    <xf borderId="6" fillId="0" fontId="9" numFmtId="171" xfId="0" applyAlignment="1" applyBorder="1" applyFont="1" applyNumberFormat="1">
      <alignment shrinkToFit="0" vertical="center" wrapText="0"/>
    </xf>
    <xf borderId="7" fillId="4" fontId="15" numFmtId="164" xfId="0" applyAlignment="1" applyBorder="1" applyFill="1" applyFont="1" applyNumberFormat="1">
      <alignment horizontal="center" shrinkToFit="0" vertical="center" wrapText="0"/>
    </xf>
    <xf borderId="7" fillId="4" fontId="15" numFmtId="168" xfId="0" applyAlignment="1" applyBorder="1" applyFill="1" applyFont="1" applyNumberFormat="1">
      <alignment shrinkToFit="0" vertical="center" wrapText="0"/>
    </xf>
    <xf borderId="7" fillId="4" fontId="15" numFmtId="172" xfId="0" applyAlignment="1" applyBorder="1" applyFill="1" applyFont="1" applyNumberFormat="1">
      <alignment shrinkToFit="0" vertical="center" wrapText="0"/>
    </xf>
    <xf borderId="6" fillId="0" fontId="9" numFmtId="173" xfId="0" applyAlignment="1" applyBorder="1" applyFont="1" applyNumberFormat="1">
      <alignment shrinkToFit="0" vertical="center" wrapText="0"/>
    </xf>
    <xf borderId="7" fillId="5" fontId="14" numFmtId="169" xfId="0" applyAlignment="1" applyBorder="1" applyFill="1" applyFont="1" applyNumberFormat="1">
      <alignment shrinkToFit="0" vertical="center" wrapText="0"/>
    </xf>
    <xf borderId="7" fillId="5" fontId="14" numFmtId="164" xfId="0" applyAlignment="1" applyBorder="1" applyFill="1" applyFont="1" applyNumberFormat="1">
      <alignment shrinkToFit="0" vertical="center" wrapText="0"/>
    </xf>
    <xf borderId="6" fillId="0" fontId="9" numFmtId="174" xfId="0" applyAlignment="1" applyBorder="1" applyFont="1" applyNumberFormat="1">
      <alignment shrinkToFit="0" vertical="center" wrapText="0"/>
    </xf>
    <xf borderId="7" fillId="5" fontId="14" numFmtId="174" xfId="0" applyAlignment="1" applyBorder="1" applyFill="1" applyFont="1" applyNumberFormat="1">
      <alignment shrinkToFit="0" vertical="center" wrapText="0"/>
    </xf>
    <xf borderId="7" fillId="4" fontId="15" numFmtId="164" xfId="0" applyAlignment="1" applyBorder="1" applyFill="1" applyFont="1" applyNumberFormat="1">
      <alignment shrinkToFit="0" vertical="center" wrapText="0"/>
    </xf>
    <xf borderId="6" fillId="0" fontId="9" numFmtId="175" xfId="0" applyAlignment="1" applyBorder="1" applyFont="1" applyNumberFormat="1">
      <alignment shrinkToFit="0" vertical="center" wrapText="0"/>
    </xf>
    <xf borderId="6" fillId="0" fontId="9" numFmtId="164" xfId="0" applyAlignment="1" applyBorder="1" applyFont="1" applyNumberFormat="1">
      <alignment shrinkToFit="0" vertical="center" wrapText="0"/>
    </xf>
    <xf borderId="7" fillId="4" fontId="15" numFmtId="0" xfId="0" applyAlignment="1" applyBorder="1" applyFill="1" applyFont="1">
      <alignment horizontal="center" shrinkToFit="0" vertical="center" wrapText="0"/>
    </xf>
    <xf borderId="7" fillId="5" fontId="14" numFmtId="176" xfId="0" applyAlignment="1" applyBorder="1" applyFill="1" applyFont="1" applyNumberFormat="1">
      <alignment shrinkToFit="0" vertical="center" wrapText="0"/>
    </xf>
    <xf borderId="6" fillId="0" fontId="9" numFmtId="1" xfId="0" applyAlignment="1" applyBorder="1" applyFont="1" applyNumberFormat="1">
      <alignment shrinkToFit="0" vertical="center" wrapText="0"/>
    </xf>
    <xf borderId="6" fillId="0" fontId="9" numFmtId="176" xfId="0" applyAlignment="1" applyBorder="1" applyFont="1" applyNumberFormat="1">
      <alignment shrinkToFit="0" vertical="center" wrapText="0"/>
    </xf>
    <xf borderId="6" fillId="0" fontId="9" numFmtId="2" xfId="0" applyAlignment="1" applyBorder="1" applyFont="1" applyNumberFormat="1">
      <alignment shrinkToFit="0" vertical="center" wrapText="0"/>
    </xf>
    <xf borderId="6" fillId="0" fontId="9" numFmtId="172" xfId="0" applyAlignment="1" applyBorder="1" applyFont="1" applyNumberFormat="1">
      <alignment shrinkToFit="0" vertical="center" wrapText="0"/>
    </xf>
    <xf borderId="7" fillId="4" fontId="15" numFmtId="2" xfId="0" applyAlignment="1" applyBorder="1" applyFill="1" applyFont="1" applyNumberFormat="1">
      <alignment shrinkToFit="0" vertical="center" wrapText="0"/>
    </xf>
    <xf borderId="7" fillId="4" fontId="15" numFmtId="1" xfId="0" applyAlignment="1" applyBorder="1" applyFill="1" applyFont="1" applyNumberFormat="1">
      <alignment horizontal="center" shrinkToFit="0" vertical="center" wrapText="0"/>
    </xf>
    <xf borderId="6" fillId="0" fontId="9" numFmtId="0" xfId="0" applyAlignment="1" applyBorder="1" applyFont="1">
      <alignment shrinkToFit="0" vertical="center" wrapText="0"/>
    </xf>
    <xf borderId="6" fillId="0" fontId="9" numFmtId="1" xfId="0" applyAlignment="1" applyBorder="1" applyFont="1" applyNumberFormat="1">
      <alignment horizontal="center" shrinkToFit="0" vertical="center" wrapText="0"/>
    </xf>
    <xf borderId="7" fillId="4" fontId="9" numFmtId="1" xfId="0" applyAlignment="1" applyBorder="1" applyFill="1" applyFont="1" applyNumberFormat="1">
      <alignment horizontal="center" shrinkToFit="0" vertical="center" wrapText="0"/>
    </xf>
    <xf borderId="7" fillId="4" fontId="9" numFmtId="166" xfId="0" applyAlignment="1" applyBorder="1" applyFill="1" applyFont="1" applyNumberFormat="1">
      <alignment shrinkToFit="0" vertical="center" wrapText="0"/>
    </xf>
    <xf borderId="7" fillId="4" fontId="9" numFmtId="167" xfId="0" applyAlignment="1" applyBorder="1" applyFill="1" applyFont="1" applyNumberFormat="1">
      <alignment shrinkToFit="0" vertical="center" wrapText="0"/>
    </xf>
    <xf borderId="2" fillId="3" fontId="20" numFmtId="0" xfId="0" applyAlignment="1" applyBorder="1" applyFill="1" applyFont="1">
      <alignment horizontal="center" shrinkToFit="0" vertical="center" wrapText="0"/>
    </xf>
    <xf borderId="7" fillId="5" fontId="21" numFmtId="2" xfId="0" applyAlignment="1" applyBorder="1" applyFill="1" applyFont="1" applyNumberFormat="1">
      <alignment shrinkToFit="0" vertical="center" wrapText="0"/>
    </xf>
  </cellXfs>
  <cellStyles count="1">
    <cellStyle xfId="0" name="Normal" builtinId="0"/>
  </cellStyles>
  <dxfs count="5">
    <dxf>
      <font>
        <b/>
        <color rgb="FF1FA35A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  <dxf>
      <font>
        <color rgb="FFC00000"/>
        <name val="Arial"/>
      </font>
      <fill>
        <patternFill patternType="none"/>
      </fill>
      <border/>
    </dxf>
    <dxf>
      <font>
        <b/>
        <color rgb="FF1FA35A"/>
        <name val="Arial"/>
      </font>
      <fill>
        <patternFill patternType="solid">
          <fgColor rgb="FFE9F7EF"/>
          <bgColor rgb="FFE9F7EF"/>
        </patternFill>
      </fill>
      <border/>
    </dxf>
    <dxf>
      <font>
        <b/>
        <color rgb="FFC00000"/>
        <name val="Arial"/>
      </font>
      <fill>
        <patternFill patternType="solid">
          <fgColor rgb="FFFDECEC"/>
          <bgColor rgb="FFFDEC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Metros: 89% of the value is already reached at 70 km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Metros: share of the 200-km value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'Distance (70 km)'!$B$41:$B$48</c:f>
            </c:numRef>
          </c:xVal>
          <c:yVal>
            <c:numRef>
              <c:f>'Distance (70 km)'!$K$41:$K$48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022973"/>
        <c:axId val="663074010"/>
      </c:scatterChart>
      <c:valAx>
        <c:axId val="422022973"/>
        <c:scaling>
          <c:orientation val="minMax"/>
          <c:max val="20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Resale radius around the hub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663074010"/>
        <c:majorUnit val="25.0"/>
      </c:valAx>
      <c:valAx>
        <c:axId val="663074010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Share of 200-km value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422022973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₹ saved per RTO by resale radius and region type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Metros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'Distance (70 km)'!$B$41:$B$48</c:f>
            </c:numRef>
          </c:xVal>
          <c:yVal>
            <c:numRef>
              <c:f>'Distance (70 km)'!$H$41:$H$48</c:f>
              <c:numCache/>
            </c:numRef>
          </c:yVal>
        </c:ser>
        <c:ser>
          <c:idx val="1"/>
          <c:order val="1"/>
          <c:tx>
            <c:v>Mid-size cities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8478C"/>
              </a:solidFill>
              <a:ln cmpd="sng">
                <a:solidFill>
                  <a:srgbClr val="C8478C"/>
                </a:solidFill>
              </a:ln>
            </c:spPr>
          </c:marker>
          <c:xVal>
            <c:numRef>
              <c:f>'Distance (70 km)'!$B$41:$B$48</c:f>
            </c:numRef>
          </c:xVal>
          <c:yVal>
            <c:numRef>
              <c:f>'Distance (70 km)'!$I$41:$I$48</c:f>
              <c:numCache/>
            </c:numRef>
          </c:yVal>
        </c:ser>
        <c:ser>
          <c:idx val="2"/>
          <c:order val="2"/>
          <c:tx>
            <c:v>Small towns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8AE57"/>
              </a:solidFill>
              <a:ln cmpd="sng">
                <a:solidFill>
                  <a:srgbClr val="D8AE57"/>
                </a:solidFill>
              </a:ln>
            </c:spPr>
          </c:marker>
          <c:xVal>
            <c:numRef>
              <c:f>'Distance (70 km)'!$B$41:$B$48</c:f>
            </c:numRef>
          </c:xVal>
          <c:yVal>
            <c:numRef>
              <c:f>'Distance (70 km)'!$J$41:$J$48</c:f>
              <c:numCache/>
            </c:numRef>
          </c:yVal>
        </c:ser>
        <c:ser>
          <c:idx val="3"/>
          <c:order val="3"/>
          <c:tx>
            <c:v>All Brazil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A7F86"/>
              </a:solidFill>
              <a:ln cmpd="sng">
                <a:solidFill>
                  <a:srgbClr val="8A7F86"/>
                </a:solidFill>
              </a:ln>
            </c:spPr>
          </c:marker>
          <c:xVal>
            <c:numRef>
              <c:f>'Distance (70 km)'!$B$41:$B$48</c:f>
            </c:numRef>
          </c:xVal>
          <c:yVal>
            <c:numRef>
              <c:f>'Distance (70 km)'!$C$41:$C$48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024412"/>
        <c:axId val="2124365673"/>
      </c:scatterChart>
      <c:valAx>
        <c:axId val="1259024412"/>
        <c:scaling>
          <c:orientation val="minMax"/>
          <c:max val="20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Resale radius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2124365673"/>
        <c:majorUnit val="25.0"/>
      </c:valAx>
      <c:valAx>
        <c:axId val="2124365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₹ saved per RTO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259024412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Method 1: value per RTO flattens after ~50 km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₹ saved per RTO (all products)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'Distance (70 km)'!$B$61:$B$70</c:f>
            </c:numRef>
          </c:xVal>
          <c:yVal>
            <c:numRef>
              <c:f>'Distance (70 km)'!$C$61:$C$70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9893"/>
        <c:axId val="935226195"/>
      </c:scatterChart>
      <c:valAx>
        <c:axId val="17159893"/>
        <c:scaling>
          <c:orientation val="minMax"/>
          <c:max val="30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Resale radius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935226195"/>
        <c:majorUnit val="50.0"/>
      </c:valAx>
      <c:valAx>
        <c:axId val="9352261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₹ saved per RTO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7159893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Metros saturate by 50 km; small towns never do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Metros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'Distance (70 km)'!$B$77:$B$86</c:f>
            </c:numRef>
          </c:xVal>
          <c:yVal>
            <c:numRef>
              <c:f>'Distance (70 km)'!$C$77:$C$86</c:f>
              <c:numCache/>
            </c:numRef>
          </c:yVal>
        </c:ser>
        <c:ser>
          <c:idx val="1"/>
          <c:order val="1"/>
          <c:tx>
            <c:v>Mid-size cities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8478C"/>
              </a:solidFill>
              <a:ln cmpd="sng">
                <a:solidFill>
                  <a:srgbClr val="C8478C"/>
                </a:solidFill>
              </a:ln>
            </c:spPr>
          </c:marker>
          <c:xVal>
            <c:numRef>
              <c:f>'Distance (70 km)'!$B$77:$B$86</c:f>
            </c:numRef>
          </c:xVal>
          <c:yVal>
            <c:numRef>
              <c:f>'Distance (70 km)'!$D$77:$D$86</c:f>
              <c:numCache/>
            </c:numRef>
          </c:yVal>
        </c:ser>
        <c:ser>
          <c:idx val="2"/>
          <c:order val="2"/>
          <c:tx>
            <c:v>Small towns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8AE57"/>
              </a:solidFill>
              <a:ln cmpd="sng">
                <a:solidFill>
                  <a:srgbClr val="D8AE57"/>
                </a:solidFill>
              </a:ln>
            </c:spPr>
          </c:marker>
          <c:xVal>
            <c:numRef>
              <c:f>'Distance (70 km)'!$B$77:$B$86</c:f>
            </c:numRef>
          </c:xVal>
          <c:yVal>
            <c:numRef>
              <c:f>'Distance (70 km)'!$E$77:$E$86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897674"/>
        <c:axId val="1033957848"/>
      </c:scatterChart>
      <c:valAx>
        <c:axId val="465897674"/>
        <c:scaling>
          <c:orientation val="minMax"/>
          <c:max val="30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Resale radius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033957848"/>
        <c:majorUnit val="50.0"/>
      </c:valAx>
      <c:valAx>
        <c:axId val="1033957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₹ saved per RTO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465897674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Method 2: top-20 SKUs earn ~5× more per RTO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Top-20 SKUs, ₹ saved per RTO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8478C"/>
              </a:solidFill>
              <a:ln cmpd="sng">
                <a:solidFill>
                  <a:srgbClr val="C8478C"/>
                </a:solidFill>
              </a:ln>
            </c:spPr>
          </c:marker>
          <c:xVal>
            <c:numRef>
              <c:f>'Distance (70 km)'!$B$134:$B$143</c:f>
            </c:numRef>
          </c:xVal>
          <c:yVal>
            <c:numRef>
              <c:f>'Distance (70 km)'!$C$134:$C$143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432565"/>
        <c:axId val="1315571173"/>
      </c:scatterChart>
      <c:valAx>
        <c:axId val="925432565"/>
        <c:scaling>
          <c:orientation val="minMax"/>
          <c:max val="30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Resale radius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315571173"/>
        <c:majorUnit val="50.0"/>
      </c:valAx>
      <c:valAx>
        <c:axId val="1315571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₹ saved per RTO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925432565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Elbow radius for each top-20 SKU (rank 1–20)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Elbow (km)</c:v>
          </c:tx>
          <c:spPr>
            <a:solidFill>
              <a:srgbClr val="C8478C"/>
            </a:solidFill>
            <a:ln cmpd="sng">
              <a:noFill/>
            </a:ln>
          </c:spPr>
          <c:invertIfNegative val="0"/>
          <c:cat>
            <c:strRef>
              <c:f>'Distance (70 km)'!$B$150:$B$169</c:f>
            </c:strRef>
          </c:cat>
          <c:val>
            <c:numRef>
              <c:f>'Distance (70 km)'!$J$150:$J$169</c:f>
              <c:numCache/>
            </c:numRef>
          </c:val>
        </c:ser>
        <c:axId val="80635796"/>
        <c:axId val="1982599343"/>
      </c:barChart>
      <c:catAx>
        <c:axId val="80635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SKU rank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982599343"/>
      </c:catAx>
      <c:valAx>
        <c:axId val="1982599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Elbow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80635796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Method 3: São Paulo gains almost nothing past 50 km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São Paulo, ₹ saved per RTO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E3A6E"/>
              </a:solidFill>
              <a:ln cmpd="sng">
                <a:solidFill>
                  <a:srgbClr val="8E3A6E"/>
                </a:solidFill>
              </a:ln>
            </c:spPr>
          </c:marker>
          <c:xVal>
            <c:numRef>
              <c:f>'Distance (70 km)'!$B$191:$B$200</c:f>
            </c:numRef>
          </c:xVal>
          <c:yVal>
            <c:numRef>
              <c:f>'Distance (70 km)'!$C$191:$C$200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306980"/>
        <c:axId val="503704675"/>
      </c:scatterChart>
      <c:valAx>
        <c:axId val="920306980"/>
        <c:scaling>
          <c:orientation val="minMax"/>
          <c:max val="30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Resale radius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503704675"/>
        <c:majorUnit val="50.0"/>
      </c:valAx>
      <c:valAx>
        <c:axId val="503704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₹ saved per RTO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920306980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Freight jumps +43% once a parcel leaves the city (&gt; 100 km)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Extra freight vs ≤ 25 km</c:v>
          </c:tx>
          <c:spPr>
            <a:solidFill>
              <a:srgbClr val="C8478C"/>
            </a:solidFill>
            <a:ln cmpd="sng">
              <a:noFill/>
            </a:ln>
          </c:spPr>
          <c:invertIfNegative val="0"/>
          <c:cat>
            <c:strRef>
              <c:f>'Distance (70 km)'!$B$239:$B$247</c:f>
            </c:strRef>
          </c:cat>
          <c:val>
            <c:numRef>
              <c:f>'Distance (70 km)'!$G$239:$G$247</c:f>
              <c:numCache/>
            </c:numRef>
          </c:val>
        </c:ser>
        <c:axId val="1933962394"/>
        <c:axId val="528913145"/>
      </c:barChart>
      <c:catAx>
        <c:axId val="1933962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Seller → buyer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528913145"/>
      </c:catAx>
      <c:valAx>
        <c:axId val="528913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Extra freight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933962394"/>
      </c:valAx>
      <c:lineChart>
        <c:varyColors val="0"/>
        <c:ser>
          <c:idx val="1"/>
          <c:order val="1"/>
          <c:tx>
            <c:v>Median transit (days, right axis)</c:v>
          </c:tx>
          <c:spPr>
            <a:ln cmpd="sng" w="28575">
              <a:solidFill>
                <a:srgbClr val="6A1747">
                  <a:alpha val="100000"/>
                </a:srgbClr>
              </a:solidFill>
            </a:ln>
          </c:spPr>
          <c:marker>
            <c:symbol val="circle"/>
            <c:size val="9"/>
            <c:spPr>
              <a:solidFill>
                <a:srgbClr val="6A1747">
                  <a:alpha val="100000"/>
                </a:srgbClr>
              </a:solidFill>
              <a:ln cmpd="sng">
                <a:solidFill>
                  <a:srgbClr val="6A1747">
                    <a:alpha val="100000"/>
                  </a:srgbClr>
                </a:solidFill>
              </a:ln>
            </c:spPr>
          </c:marker>
          <c:cat>
            <c:strRef>
              <c:f>'Distance (70 km)'!$B$239:$B$247</c:f>
            </c:strRef>
          </c:cat>
          <c:val>
            <c:numRef>
              <c:f>'Distance (70 km)'!$E$239:$E$247</c:f>
              <c:numCache/>
            </c:numRef>
          </c:val>
          <c:smooth val="0"/>
        </c:ser>
        <c:axId val="227025060"/>
        <c:axId val="262725055"/>
      </c:lineChart>
      <c:catAx>
        <c:axId val="2270250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262725055"/>
      </c:catAx>
      <c:valAx>
        <c:axId val="26272505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Transit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227025060"/>
        <c:crosses val="max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Chance of resale rises fast to ~50 km, then slowly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Measured chance of resale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'Distance (70 km)'!$B$259:$B$281</c:f>
            </c:numRef>
          </c:xVal>
          <c:yVal>
            <c:numRef>
              <c:f>'Distance (70 km)'!$D$259:$D$281</c:f>
              <c:numCache/>
            </c:numRef>
          </c:yVal>
        </c:ser>
        <c:ser>
          <c:idx val="1"/>
          <c:order val="1"/>
          <c:tx>
            <c:v>Negative-binomial 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8AE57"/>
              </a:solidFill>
              <a:ln cmpd="sng">
                <a:solidFill>
                  <a:srgbClr val="D8AE57"/>
                </a:solidFill>
              </a:ln>
            </c:spPr>
          </c:marker>
          <c:xVal>
            <c:numRef>
              <c:f>'Distance (70 km)'!$B$259:$B$281</c:f>
            </c:numRef>
          </c:xVal>
          <c:yVal>
            <c:numRef>
              <c:f>'Distance (70 km)'!$I$259:$I$281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549835"/>
        <c:axId val="700073850"/>
      </c:scatterChart>
      <c:valAx>
        <c:axId val="216549835"/>
        <c:scaling>
          <c:orientation val="minMax"/>
          <c:max val="50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Service radius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700073850"/>
        <c:majorUnit val="50.0"/>
      </c:valAx>
      <c:valAx>
        <c:axId val="700073850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Chance of resale within 22 days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216549835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A bigger circle adds area much faster than buyers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Area (× of 50 km)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A7F86"/>
              </a:solidFill>
              <a:ln cmpd="sng">
                <a:solidFill>
                  <a:srgbClr val="8A7F86"/>
                </a:solidFill>
              </a:ln>
            </c:spPr>
          </c:marker>
          <c:xVal>
            <c:numRef>
              <c:f>'Distance (70 km)'!$C$336:$I$336</c:f>
            </c:numRef>
          </c:xVal>
          <c:yVal>
            <c:numRef>
              <c:f>'Distance (70 km)'!$C$341:$I$341</c:f>
              <c:numCache/>
            </c:numRef>
          </c:yVal>
        </c:ser>
        <c:ser>
          <c:idx val="1"/>
          <c:order val="1"/>
          <c:tx>
            <c:v>Same-SKU demand (× of 50 km)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'Distance (70 km)'!$C$336:$I$336</c:f>
            </c:numRef>
          </c:xVal>
          <c:yVal>
            <c:numRef>
              <c:f>'Distance (70 km)'!$C$342:$I$342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322744"/>
        <c:axId val="600928400"/>
      </c:scatterChart>
      <c:valAx>
        <c:axId val="1597322744"/>
        <c:scaling>
          <c:orientation val="minMax"/>
          <c:max val="100.0"/>
          <c:min val="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Radius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600928400"/>
        <c:majorUnit val="10.0"/>
      </c:valAx>
      <c:valAx>
        <c:axId val="600928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Growth vs 50 km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597322744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Delhi NCR towns by distance from Connaught Place (cap = 70 km)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Distance from hub (km)</c:v>
          </c:tx>
          <c:spPr>
            <a:solidFill>
              <a:srgbClr val="6A1747"/>
            </a:solidFill>
            <a:ln cmpd="sng">
              <a:noFill/>
            </a:ln>
          </c:spPr>
          <c:invertIfNegative val="0"/>
          <c:cat>
            <c:strRef>
              <c:f>'Distance (70 km)'!$B$351:$B$366</c:f>
            </c:strRef>
          </c:cat>
          <c:val>
            <c:numRef>
              <c:f>'Distance (70 km)'!$E$351:$E$366</c:f>
              <c:numCache/>
            </c:numRef>
          </c:val>
        </c:ser>
        <c:axId val="589291732"/>
        <c:axId val="895697419"/>
      </c:barChart>
      <c:catAx>
        <c:axId val="5892917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895697419"/>
      </c:catAx>
      <c:valAx>
        <c:axId val="8956974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km from hub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589291732"/>
        <c:crosses val="max"/>
      </c:valAx>
    </c:plotArea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Where São Paulo SKUs flatten: most elbows sit at 25–50 km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Share of RTOs</c:v>
          </c:tx>
          <c:spPr>
            <a:solidFill>
              <a:srgbClr val="8E3A6E"/>
            </a:solidFill>
            <a:ln cmpd="sng">
              <a:noFill/>
            </a:ln>
          </c:spPr>
          <c:invertIfNegative val="0"/>
          <c:cat>
            <c:strRef>
              <c:f>'Distance (70 km)'!$B$207:$B$212</c:f>
            </c:strRef>
          </c:cat>
          <c:val>
            <c:numRef>
              <c:f>'Distance (70 km)'!$F$207:$F$212</c:f>
              <c:numCache/>
            </c:numRef>
          </c:val>
        </c:ser>
        <c:axId val="1965406587"/>
        <c:axId val="1406632409"/>
      </c:barChart>
      <c:catAx>
        <c:axId val="1965406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Elbow radius band (lower edge, 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406632409"/>
      </c:catAx>
      <c:valAx>
        <c:axId val="1406632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Share of SP test RTOs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965406587"/>
      </c:valAx>
    </c:plotArea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Three methods → 70 km network cap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km</c:v>
          </c:tx>
          <c:spPr>
            <a:solidFill>
              <a:srgbClr val="C8478C"/>
            </a:solidFill>
            <a:ln cmpd="sng">
              <a:noFill/>
            </a:ln>
          </c:spPr>
          <c:invertIfNegative val="0"/>
          <c:dPt>
            <c:idx val="3"/>
            <c:spPr>
              <a:solidFill>
                <a:srgbClr val="8A7F86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A1747"/>
              </a:solidFill>
              <a:ln cmpd="sng">
                <a:noFill/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900">
                      <a:solidFill>
                        <a:srgbClr val="2B1A24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 i="0" sz="900">
                      <a:solidFill>
                        <a:srgbClr val="2B1A24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2B1A24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'Distance (70 km)'!$AE$10:$AE$14</c:f>
            </c:strRef>
          </c:cat>
          <c:val>
            <c:numRef>
              <c:f>'Distance (70 km)'!$AF$10:$AF$14</c:f>
              <c:numCache/>
            </c:numRef>
          </c:val>
        </c:ser>
        <c:axId val="375521802"/>
        <c:axId val="1151472440"/>
      </c:barChart>
      <c:catAx>
        <c:axId val="375521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151472440"/>
      </c:catAx>
      <c:valAx>
        <c:axId val="1151472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km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375521802"/>
      </c:valAx>
    </c:plotArea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Share of the 60-day saving captured by each hold cap (72–76% at day 21)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All products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days)'!$G$37:$G$96</c:f>
              <c:numCache/>
            </c:numRef>
          </c:yVal>
        </c:ser>
        <c:ser>
          <c:idx val="1"/>
          <c:order val="1"/>
          <c:tx>
            <c:v>Top-20 SKUs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8478C"/>
              </a:solidFill>
              <a:ln cmpd="sng">
                <a:solidFill>
                  <a:srgbClr val="C8478C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days)'!$H$37:$H$96</c:f>
              <c:numCache/>
            </c:numRef>
          </c:yVal>
        </c:ser>
        <c:ser>
          <c:idx val="2"/>
          <c:order val="2"/>
          <c:tx>
            <c:v>São Paulo metro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8AE57"/>
              </a:solidFill>
              <a:ln cmpd="sng">
                <a:solidFill>
                  <a:srgbClr val="D8AE57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days)'!$I$37:$I$96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899530"/>
        <c:axId val="719701064"/>
      </c:scatterChart>
      <c:valAx>
        <c:axId val="1410899530"/>
        <c:scaling>
          <c:orientation val="minMax"/>
          <c:max val="6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Maximum days a returned parcel may be held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719701064"/>
        <c:majorUnit val="7.0"/>
      </c:valAx>
      <c:valAx>
        <c:axId val="719701064"/>
        <c:scaling>
          <c:orientation val="minMax"/>
          <c:max val="1.05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Share of 60-day saving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410899530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Held RTOs resold by day d vs the break-even bar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All products: held RTOs resold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days)'!$P$37:$P$96</c:f>
              <c:numCache/>
            </c:numRef>
          </c:yVal>
        </c:ser>
        <c:ser>
          <c:idx val="1"/>
          <c:order val="1"/>
          <c:tx>
            <c:v>Top-20: resold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8478C"/>
              </a:solidFill>
              <a:ln cmpd="sng">
                <a:solidFill>
                  <a:srgbClr val="C8478C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days)'!$Q$37:$Q$96</c:f>
              <c:numCache/>
            </c:numRef>
          </c:yVal>
        </c:ser>
        <c:ser>
          <c:idx val="2"/>
          <c:order val="2"/>
          <c:tx>
            <c:v>São Paulo: resold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8AE57"/>
              </a:solidFill>
              <a:ln cmpd="sng">
                <a:solidFill>
                  <a:srgbClr val="D8AE57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days)'!$R$37:$R$96</c:f>
              <c:numCache/>
            </c:numRef>
          </c:yVal>
        </c:ser>
        <c:ser>
          <c:idx val="3"/>
          <c:order val="3"/>
          <c:tx>
            <c:v>P required to break even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A7F86"/>
              </a:solidFill>
              <a:ln cmpd="sng">
                <a:solidFill>
                  <a:srgbClr val="8A7F86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days)'!$C$37:$C$96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803475"/>
        <c:axId val="470515500"/>
      </c:scatterChart>
      <c:valAx>
        <c:axId val="1880803475"/>
        <c:scaling>
          <c:orientation val="minMax"/>
          <c:max val="6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Days held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470515500"/>
        <c:majorUnit val="7.0"/>
      </c:valAx>
      <c:valAx>
        <c:axId val="470515500"/>
        <c:scaling>
          <c:orientation val="minMax"/>
          <c:max val="0.7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Share of held RTOs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880803475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₹ saved per RTO by hold cap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All products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days)'!$D$37:$D$96</c:f>
              <c:numCache/>
            </c:numRef>
          </c:yVal>
        </c:ser>
        <c:ser>
          <c:idx val="1"/>
          <c:order val="1"/>
          <c:tx>
            <c:v>Top-20 SKUs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8478C"/>
              </a:solidFill>
              <a:ln cmpd="sng">
                <a:solidFill>
                  <a:srgbClr val="C8478C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days)'!$E$37:$E$96</c:f>
              <c:numCache/>
            </c:numRef>
          </c:yVal>
        </c:ser>
        <c:ser>
          <c:idx val="2"/>
          <c:order val="2"/>
          <c:tx>
            <c:v>São Paulo metro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8AE57"/>
              </a:solidFill>
              <a:ln cmpd="sng">
                <a:solidFill>
                  <a:srgbClr val="D8AE57"/>
                </a:solidFill>
              </a:ln>
            </c:spPr>
          </c:marker>
          <c:xVal>
            <c:numRef>
              <c:f>'Time (21 days)'!$B$37:$B$96</c:f>
            </c:numRef>
          </c:xVal>
          <c:yVal>
            <c:numRef>
              <c:f>'Time (21 days)'!$F$37:$F$96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88013"/>
        <c:axId val="756658433"/>
      </c:scatterChart>
      <c:valAx>
        <c:axId val="72688013"/>
        <c:scaling>
          <c:orientation val="minMax"/>
          <c:max val="6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Hold cap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756658433"/>
        <c:majorUnit val="7.0"/>
      </c:valAx>
      <c:valAx>
        <c:axId val="756658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₹ saved per RTO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72688013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Value of one more day falls fast after week 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All products ₹/day</c:v>
          </c:tx>
          <c:spPr>
            <a:solidFill>
              <a:srgbClr val="6A1747"/>
            </a:solidFill>
            <a:ln cmpd="sng">
              <a:noFill/>
            </a:ln>
          </c:spPr>
          <c:invertIfNegative val="0"/>
          <c:cat>
            <c:strRef>
              <c:f>'Time (21 days)'!$B$107:$B$112</c:f>
            </c:strRef>
          </c:cat>
          <c:val>
            <c:numRef>
              <c:f>'Time (21 days)'!$E$107:$E$112</c:f>
              <c:numCache/>
            </c:numRef>
          </c:val>
        </c:ser>
        <c:ser>
          <c:idx val="1"/>
          <c:order val="1"/>
          <c:tx>
            <c:v>Top-20 SKUs ₹/day</c:v>
          </c:tx>
          <c:spPr>
            <a:solidFill>
              <a:srgbClr val="C8478C"/>
            </a:solidFill>
            <a:ln cmpd="sng">
              <a:noFill/>
            </a:ln>
          </c:spPr>
          <c:invertIfNegative val="0"/>
          <c:cat>
            <c:strRef>
              <c:f>'Time (21 days)'!$B$107:$B$112</c:f>
            </c:strRef>
          </c:cat>
          <c:val>
            <c:numRef>
              <c:f>'Time (21 days)'!$H$107:$H$112</c:f>
              <c:numCache/>
            </c:numRef>
          </c:val>
        </c:ser>
        <c:ser>
          <c:idx val="2"/>
          <c:order val="2"/>
          <c:tx>
            <c:v>São Paulo ₹/day</c:v>
          </c:tx>
          <c:spPr>
            <a:solidFill>
              <a:srgbClr val="D8AE57"/>
            </a:solidFill>
            <a:ln cmpd="sng">
              <a:noFill/>
            </a:ln>
          </c:spPr>
          <c:invertIfNegative val="0"/>
          <c:cat>
            <c:strRef>
              <c:f>'Time (21 days)'!$B$107:$B$112</c:f>
            </c:strRef>
          </c:cat>
          <c:val>
            <c:numRef>
              <c:f>'Time (21 days)'!$K$107:$K$112</c:f>
              <c:numCache/>
            </c:numRef>
          </c:val>
        </c:ser>
        <c:axId val="1077550900"/>
        <c:axId val="1818999777"/>
      </c:barChart>
      <c:catAx>
        <c:axId val="1077550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Holding window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818999777"/>
      </c:catAx>
      <c:valAx>
        <c:axId val="1818999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₹ per RTO per extra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077550900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Elbow (days) for each top-20 SKU (rank 1–20)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Elbow (days)</c:v>
          </c:tx>
          <c:spPr>
            <a:solidFill>
              <a:srgbClr val="C8478C"/>
            </a:solidFill>
            <a:ln cmpd="sng">
              <a:noFill/>
            </a:ln>
          </c:spPr>
          <c:invertIfNegative val="0"/>
          <c:cat>
            <c:strRef>
              <c:f>'Time (21 days)'!$B$167:$B$186</c:f>
            </c:strRef>
          </c:cat>
          <c:val>
            <c:numRef>
              <c:f>'Time (21 days)'!$K$167:$K$186</c:f>
              <c:numCache/>
            </c:numRef>
          </c:val>
        </c:ser>
        <c:axId val="850400945"/>
        <c:axId val="1055267659"/>
      </c:barChart>
      <c:catAx>
        <c:axId val="850400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SKU rank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055267659"/>
      </c:catAx>
      <c:valAx>
        <c:axId val="1055267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Elbow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850400945"/>
      </c:valAx>
    </c:plotArea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São Paulo SKU elbows: two-thirds of RTOs flatten within 21 days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Share of RTOs</c:v>
          </c:tx>
          <c:spPr>
            <a:solidFill>
              <a:srgbClr val="D8AE57"/>
            </a:solidFill>
            <a:ln cmpd="sng">
              <a:noFill/>
            </a:ln>
          </c:spPr>
          <c:invertIfNegative val="0"/>
          <c:cat>
            <c:strRef>
              <c:f>'Time (21 days)'!$B$214:$B$219</c:f>
            </c:strRef>
          </c:cat>
          <c:val>
            <c:numRef>
              <c:f>'Time (21 days)'!$F$214:$F$219</c:f>
              <c:numCache/>
            </c:numRef>
          </c:val>
        </c:ser>
        <c:axId val="1378240559"/>
        <c:axId val="121409095"/>
      </c:barChart>
      <c:catAx>
        <c:axId val="137824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Elbow band (lower edge, 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21409095"/>
      </c:catAx>
      <c:valAx>
        <c:axId val="121409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Share of SP RTOs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378240559"/>
      </c:valAx>
    </c:plotArea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₹ saved per held RTO at 70 km and a 21-day hold, by SKU rank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₹ saved per held RTO</c:v>
          </c:tx>
          <c:spPr>
            <a:solidFill>
              <a:srgbClr val="1FA35A"/>
            </a:solidFill>
            <a:ln cmpd="sng">
              <a:noFill/>
            </a:ln>
          </c:spPr>
          <c:invertIfNegative val="0"/>
          <c:cat>
            <c:strRef>
              <c:f>'Time (21 days)'!$B$264:$B$283</c:f>
            </c:strRef>
          </c:cat>
          <c:val>
            <c:numRef>
              <c:f>'Time (21 days)'!$J$264:$J$283</c:f>
              <c:numCache/>
            </c:numRef>
          </c:val>
        </c:ser>
        <c:axId val="1805759257"/>
        <c:axId val="158425997"/>
      </c:barChart>
      <c:catAx>
        <c:axId val="1805759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SKU rank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58425997"/>
      </c:catAx>
      <c:valAx>
        <c:axId val="158425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₹ per held RTO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805759257"/>
      </c:valAx>
    </c:plotArea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Selected SKU: chance of resale vs the break-even bar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Observed P(sold by day)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A1747"/>
              </a:solidFill>
              <a:ln cmpd="sng">
                <a:solidFill>
                  <a:srgbClr val="6A1747"/>
                </a:solidFill>
              </a:ln>
            </c:spPr>
          </c:marker>
          <c:xVal>
            <c:numRef>
              <c:f>'Time (21 days)'!$B$293:$B$338</c:f>
            </c:numRef>
          </c:xVal>
          <c:yVal>
            <c:numRef>
              <c:f>'Time (21 days)'!$C$293:$C$338</c:f>
              <c:numCache/>
            </c:numRef>
          </c:yVal>
        </c:ser>
        <c:ser>
          <c:idx val="1"/>
          <c:order val="1"/>
          <c:tx>
            <c:v>NB model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8AE57"/>
              </a:solidFill>
              <a:ln cmpd="sng">
                <a:solidFill>
                  <a:srgbClr val="D8AE57"/>
                </a:solidFill>
              </a:ln>
            </c:spPr>
          </c:marker>
          <c:xVal>
            <c:numRef>
              <c:f>'Time (21 days)'!$B$293:$B$338</c:f>
            </c:numRef>
          </c:xVal>
          <c:yVal>
            <c:numRef>
              <c:f>'Time (21 days)'!$D$293:$D$338</c:f>
              <c:numCache/>
            </c:numRef>
          </c:yVal>
        </c:ser>
        <c:ser>
          <c:idx val="2"/>
          <c:order val="2"/>
          <c:tx>
            <c:v>P required to hold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A7F86"/>
              </a:solidFill>
              <a:ln cmpd="sng">
                <a:solidFill>
                  <a:srgbClr val="8A7F86"/>
                </a:solidFill>
              </a:ln>
            </c:spPr>
          </c:marker>
          <c:xVal>
            <c:numRef>
              <c:f>'Time (21 days)'!$B$293:$B$338</c:f>
            </c:numRef>
          </c:xVal>
          <c:yVal>
            <c:numRef>
              <c:f>'Time (21 days)'!$E$293:$E$338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150953"/>
        <c:axId val="1273375591"/>
      </c:scatterChart>
      <c:valAx>
        <c:axId val="1523150953"/>
        <c:scaling>
          <c:orientation val="minMax"/>
          <c:max val="45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Days held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273375591"/>
        <c:majorUnit val="7.0"/>
      </c:valAx>
      <c:valAx>
        <c:axId val="127337559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Probability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523150953"/>
      </c:valAx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4A3F46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A1747"/>
                </a:solidFill>
                <a:latin typeface="Arial"/>
              </a:defRPr>
            </a:pPr>
            <a:r>
              <a:rPr b="1" i="0" sz="1100">
                <a:solidFill>
                  <a:srgbClr val="6A1747"/>
                </a:solidFill>
                <a:latin typeface="Arial"/>
              </a:rPr>
              <a:t>Three methods → 21-day hold cap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days</c:v>
          </c:tx>
          <c:spPr>
            <a:solidFill>
              <a:srgbClr val="C8478C"/>
            </a:solidFill>
            <a:ln cmpd="sng">
              <a:noFill/>
            </a:ln>
          </c:spPr>
          <c:invertIfNegative val="0"/>
          <c:dPt>
            <c:idx val="3"/>
            <c:spPr>
              <a:solidFill>
                <a:srgbClr val="8A7F86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A1747"/>
              </a:solidFill>
              <a:ln cmpd="sng">
                <a:noFill/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900">
                      <a:solidFill>
                        <a:srgbClr val="2B1A24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 i="0" sz="900">
                      <a:solidFill>
                        <a:srgbClr val="2B1A24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2B1A24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'Time (21 days)'!$AJ$10:$AJ$14</c:f>
            </c:strRef>
          </c:cat>
          <c:val>
            <c:numRef>
              <c:f>'Time (21 days)'!$AK$10:$AK$14</c:f>
              <c:numCache/>
            </c:numRef>
          </c:val>
        </c:ser>
        <c:axId val="119293967"/>
        <c:axId val="1678182108"/>
      </c:barChart>
      <c:catAx>
        <c:axId val="119293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678182108"/>
      </c:catAx>
      <c:valAx>
        <c:axId val="1678182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4A3F46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4A3F46"/>
                    </a:solidFill>
                    <a:latin typeface="Arial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4A3F46"/>
                </a:solidFill>
                <a:latin typeface="Arial"/>
              </a:defRPr>
            </a:pPr>
          </a:p>
        </c:txPr>
        <c:crossAx val="119293967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Relationship Id="rId7" Type="http://schemas.openxmlformats.org/officeDocument/2006/relationships/chart" Target="../charts/chart20.xml"/><Relationship Id="rId8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37</xdr:row>
      <xdr:rowOff>0</xdr:rowOff>
    </xdr:from>
    <xdr:ext cx="5819775" cy="30575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304800</xdr:colOff>
      <xdr:row>36</xdr:row>
      <xdr:rowOff>266700</xdr:rowOff>
    </xdr:from>
    <xdr:ext cx="5819775" cy="3086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0</xdr:colOff>
      <xdr:row>57</xdr:row>
      <xdr:rowOff>0</xdr:rowOff>
    </xdr:from>
    <xdr:ext cx="5819775" cy="28003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0</xdr:colOff>
      <xdr:row>73</xdr:row>
      <xdr:rowOff>0</xdr:rowOff>
    </xdr:from>
    <xdr:ext cx="5819775" cy="28003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0</xdr:colOff>
      <xdr:row>130</xdr:row>
      <xdr:rowOff>0</xdr:rowOff>
    </xdr:from>
    <xdr:ext cx="5819775" cy="28003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0</xdr:colOff>
      <xdr:row>147</xdr:row>
      <xdr:rowOff>0</xdr:rowOff>
    </xdr:from>
    <xdr:ext cx="5819775" cy="28098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0</xdr:colOff>
      <xdr:row>187</xdr:row>
      <xdr:rowOff>0</xdr:rowOff>
    </xdr:from>
    <xdr:ext cx="5819775" cy="28003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0</xdr:colOff>
      <xdr:row>235</xdr:row>
      <xdr:rowOff>0</xdr:rowOff>
    </xdr:from>
    <xdr:ext cx="5819775" cy="280035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0</xdr:colOff>
      <xdr:row>255</xdr:row>
      <xdr:rowOff>0</xdr:rowOff>
    </xdr:from>
    <xdr:ext cx="5819775" cy="280035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15</xdr:col>
      <xdr:colOff>0</xdr:colOff>
      <xdr:row>312</xdr:row>
      <xdr:rowOff>0</xdr:rowOff>
    </xdr:from>
    <xdr:ext cx="5819775" cy="280987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15</xdr:col>
      <xdr:colOff>0</xdr:colOff>
      <xdr:row>346</xdr:row>
      <xdr:rowOff>0</xdr:rowOff>
    </xdr:from>
    <xdr:ext cx="5819775" cy="3000375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15</xdr:col>
      <xdr:colOff>0</xdr:colOff>
      <xdr:row>202</xdr:row>
      <xdr:rowOff>0</xdr:rowOff>
    </xdr:from>
    <xdr:ext cx="5819775" cy="2809875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15</xdr:col>
      <xdr:colOff>0</xdr:colOff>
      <xdr:row>4</xdr:row>
      <xdr:rowOff>0</xdr:rowOff>
    </xdr:from>
    <xdr:ext cx="5819775" cy="2676525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33</xdr:row>
      <xdr:rowOff>0</xdr:rowOff>
    </xdr:from>
    <xdr:ext cx="6496050" cy="3362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0</xdr:colOff>
      <xdr:row>52</xdr:row>
      <xdr:rowOff>0</xdr:rowOff>
    </xdr:from>
    <xdr:ext cx="6496050" cy="3400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0</xdr:colOff>
      <xdr:row>71</xdr:row>
      <xdr:rowOff>0</xdr:rowOff>
    </xdr:from>
    <xdr:ext cx="6496050" cy="34004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0</xdr:colOff>
      <xdr:row>103</xdr:row>
      <xdr:rowOff>0</xdr:rowOff>
    </xdr:from>
    <xdr:ext cx="6496050" cy="30003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0</xdr:colOff>
      <xdr:row>163</xdr:row>
      <xdr:rowOff>0</xdr:rowOff>
    </xdr:from>
    <xdr:ext cx="6496050" cy="29908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0</xdr:colOff>
      <xdr:row>209</xdr:row>
      <xdr:rowOff>0</xdr:rowOff>
    </xdr:from>
    <xdr:ext cx="6496050" cy="30003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20</xdr:col>
      <xdr:colOff>0</xdr:colOff>
      <xdr:row>260</xdr:row>
      <xdr:rowOff>0</xdr:rowOff>
    </xdr:from>
    <xdr:ext cx="6496050" cy="299085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20</xdr:col>
      <xdr:colOff>0</xdr:colOff>
      <xdr:row>286</xdr:row>
      <xdr:rowOff>0</xdr:rowOff>
    </xdr:from>
    <xdr:ext cx="6496050" cy="337185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20</xdr:col>
      <xdr:colOff>0</xdr:colOff>
      <xdr:row>4</xdr:row>
      <xdr:rowOff>0</xdr:rowOff>
    </xdr:from>
    <xdr:ext cx="6496050" cy="2676525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747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14"/>
    <col customWidth="1" min="3" max="3" width="16.0"/>
    <col customWidth="1" min="4" max="14" width="13.0"/>
    <col customWidth="1" min="15" max="15" width="3.0"/>
    <col customWidth="1" min="16" max="29" width="11.0"/>
    <col customWidth="1" min="30" max="32" width="8.71"/>
  </cols>
  <sheetData>
    <row r="2" ht="30.0" customHeight="1">
      <c r="B2" s="1" t="s">
        <v>28</v>
      </c>
    </row>
    <row r="3">
      <c r="B3" s="2" t="s">
        <v>30</v>
      </c>
    </row>
    <row r="5" ht="21.75" customHeight="1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B6" s="5" t="s">
        <v>3</v>
      </c>
    </row>
    <row r="8" ht="21.75" customHeight="1">
      <c r="B8" s="6" t="s">
        <v>4</v>
      </c>
      <c r="C8" s="6" t="s">
        <v>5</v>
      </c>
      <c r="D8" s="7" t="s">
        <v>6</v>
      </c>
      <c r="E8" s="8"/>
      <c r="F8" s="8"/>
      <c r="G8" s="8"/>
      <c r="H8" s="8"/>
      <c r="I8" s="9"/>
    </row>
    <row r="9">
      <c r="B9" s="10" t="s">
        <v>36</v>
      </c>
      <c r="C9" s="17">
        <f>$E$126</f>
        <v>65</v>
      </c>
      <c r="D9" s="5" t="s">
        <v>40</v>
      </c>
      <c r="AE9" s="18" t="s">
        <v>41</v>
      </c>
      <c r="AF9" s="18" t="s">
        <v>44</v>
      </c>
    </row>
    <row r="10">
      <c r="B10" s="10" t="s">
        <v>45</v>
      </c>
      <c r="C10" s="17">
        <f>$J$173</f>
        <v>70</v>
      </c>
      <c r="D10" s="5" t="s">
        <v>47</v>
      </c>
      <c r="AE10" s="12" t="s">
        <v>12</v>
      </c>
      <c r="AF10" s="21">
        <f>$E$126</f>
        <v>65</v>
      </c>
    </row>
    <row r="11">
      <c r="B11" s="10" t="s">
        <v>50</v>
      </c>
      <c r="C11" s="17">
        <f>$G$216</f>
        <v>45</v>
      </c>
      <c r="D11" s="5" t="s">
        <v>51</v>
      </c>
      <c r="AE11" s="12" t="s">
        <v>15</v>
      </c>
      <c r="AF11" s="21">
        <f>$J$173</f>
        <v>70</v>
      </c>
    </row>
    <row r="12">
      <c r="B12" s="10" t="s">
        <v>16</v>
      </c>
      <c r="C12" s="17">
        <f>ROUND(AVERAGE(C9:C11),0)</f>
        <v>60</v>
      </c>
      <c r="D12" s="5" t="s">
        <v>17</v>
      </c>
      <c r="AE12" s="12" t="s">
        <v>18</v>
      </c>
      <c r="AF12" s="21">
        <f>$G$216</f>
        <v>45</v>
      </c>
    </row>
    <row r="13" ht="19.5" customHeight="1">
      <c r="B13" s="14" t="s">
        <v>57</v>
      </c>
      <c r="C13" s="23">
        <f>MAX(C9:C11)</f>
        <v>70</v>
      </c>
      <c r="D13" s="5" t="s">
        <v>70</v>
      </c>
      <c r="AE13" s="12" t="s">
        <v>21</v>
      </c>
      <c r="AF13" s="21">
        <f t="shared" ref="AF13:AF14" si="1">C12</f>
        <v>60</v>
      </c>
    </row>
    <row r="14">
      <c r="B14" s="10" t="s">
        <v>78</v>
      </c>
      <c r="C14" s="25">
        <f>$I$49</f>
        <v>0.8887418899</v>
      </c>
      <c r="D14" s="5" t="s">
        <v>79</v>
      </c>
      <c r="AE14" s="12" t="s">
        <v>80</v>
      </c>
      <c r="AF14" s="21">
        <f t="shared" si="1"/>
        <v>70</v>
      </c>
    </row>
    <row r="15">
      <c r="B15" s="10" t="s">
        <v>81</v>
      </c>
      <c r="C15" s="28">
        <f>$G$248</f>
        <v>0.4274465692</v>
      </c>
      <c r="D15" s="5" t="s">
        <v>82</v>
      </c>
    </row>
    <row r="16">
      <c r="B16" s="10" t="s">
        <v>83</v>
      </c>
      <c r="C16" s="16" t="str">
        <f>$I$309</f>
        <v>17 of 20</v>
      </c>
      <c r="D16" s="5" t="s">
        <v>84</v>
      </c>
    </row>
    <row r="17">
      <c r="B17" s="10" t="s">
        <v>85</v>
      </c>
      <c r="C17" s="16" t="str">
        <f>$F$367</f>
        <v>12 of 16</v>
      </c>
      <c r="D17" s="5" t="s">
        <v>86</v>
      </c>
    </row>
    <row r="18">
      <c r="B18" s="10" t="s">
        <v>87</v>
      </c>
      <c r="C18" s="16" t="str">
        <f>TEXT($I$52,"₹0.00")&amp;"  /  "&amp;TEXT($I$53,"₹0.00")</f>
        <v>₹3.54  /  ₹9.81</v>
      </c>
      <c r="D18" s="5" t="s">
        <v>88</v>
      </c>
    </row>
    <row r="20" ht="21.75" customHeight="1">
      <c r="B20" s="3" t="s">
        <v>89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B21" s="5" t="s">
        <v>90</v>
      </c>
    </row>
    <row r="22" ht="15.75" customHeight="1"/>
    <row r="23" ht="30.0" customHeight="1">
      <c r="B23" s="6" t="s">
        <v>91</v>
      </c>
      <c r="C23" s="6" t="s">
        <v>5</v>
      </c>
      <c r="D23" s="6" t="s">
        <v>43</v>
      </c>
      <c r="E23" s="6" t="s">
        <v>92</v>
      </c>
    </row>
    <row r="24" ht="15.75" customHeight="1">
      <c r="B24" s="10" t="s">
        <v>93</v>
      </c>
      <c r="C24" s="31">
        <v>50.0</v>
      </c>
      <c r="D24" s="20" t="s">
        <v>48</v>
      </c>
      <c r="E24" s="5" t="s">
        <v>94</v>
      </c>
    </row>
    <row r="25" ht="15.75" customHeight="1">
      <c r="B25" s="10" t="s">
        <v>95</v>
      </c>
      <c r="C25" s="31">
        <v>120.0</v>
      </c>
      <c r="D25" s="20" t="s">
        <v>48</v>
      </c>
      <c r="E25" s="5" t="s">
        <v>94</v>
      </c>
    </row>
    <row r="26" ht="15.75" customHeight="1">
      <c r="B26" s="10" t="s">
        <v>96</v>
      </c>
      <c r="C26" s="33">
        <f>C24+C25</f>
        <v>170</v>
      </c>
      <c r="D26" s="20" t="s">
        <v>48</v>
      </c>
      <c r="E26" s="5" t="s">
        <v>97</v>
      </c>
    </row>
    <row r="27" ht="15.75" customHeight="1">
      <c r="B27" s="10" t="s">
        <v>98</v>
      </c>
      <c r="C27" s="31">
        <v>15.0</v>
      </c>
      <c r="D27" s="20" t="s">
        <v>48</v>
      </c>
      <c r="E27" s="5" t="s">
        <v>99</v>
      </c>
    </row>
    <row r="28" ht="15.75" customHeight="1">
      <c r="B28" s="10" t="s">
        <v>100</v>
      </c>
      <c r="C28" s="31">
        <v>2.0</v>
      </c>
      <c r="D28" s="20" t="s">
        <v>48</v>
      </c>
      <c r="E28" s="5" t="s">
        <v>99</v>
      </c>
    </row>
    <row r="29" ht="15.75" customHeight="1">
      <c r="B29" s="10" t="s">
        <v>101</v>
      </c>
      <c r="C29" s="31">
        <v>8.0</v>
      </c>
      <c r="D29" s="20" t="s">
        <v>48</v>
      </c>
      <c r="E29" s="5" t="s">
        <v>99</v>
      </c>
    </row>
    <row r="30" ht="15.75" customHeight="1">
      <c r="B30" s="10" t="s">
        <v>53</v>
      </c>
      <c r="C30" s="33">
        <f>C27+C28+C29</f>
        <v>25</v>
      </c>
      <c r="D30" s="20" t="s">
        <v>48</v>
      </c>
      <c r="E30" s="5" t="s">
        <v>102</v>
      </c>
    </row>
    <row r="31" ht="15.75" customHeight="1">
      <c r="B31" s="10" t="s">
        <v>103</v>
      </c>
      <c r="C31" s="31">
        <v>10.0</v>
      </c>
      <c r="D31" s="20" t="s">
        <v>48</v>
      </c>
      <c r="E31" s="5" t="s">
        <v>99</v>
      </c>
    </row>
    <row r="32" ht="15.75" customHeight="1">
      <c r="B32" s="10" t="s">
        <v>54</v>
      </c>
      <c r="C32" s="34">
        <f>C31/30</f>
        <v>0.3333333333</v>
      </c>
      <c r="D32" s="20" t="s">
        <v>55</v>
      </c>
      <c r="E32" s="5" t="s">
        <v>104</v>
      </c>
    </row>
    <row r="33" ht="15.75" customHeight="1">
      <c r="B33" s="10" t="s">
        <v>105</v>
      </c>
      <c r="C33" s="35">
        <v>19.95</v>
      </c>
      <c r="D33" s="20" t="s">
        <v>106</v>
      </c>
      <c r="E33" s="5" t="s">
        <v>107</v>
      </c>
    </row>
    <row r="34" ht="15.75" customHeight="1">
      <c r="B34" s="10" t="s">
        <v>108</v>
      </c>
      <c r="C34" s="34">
        <f>C24/C33</f>
        <v>2.506265664</v>
      </c>
      <c r="D34" s="20" t="s">
        <v>109</v>
      </c>
      <c r="E34" s="5" t="s">
        <v>110</v>
      </c>
    </row>
    <row r="35" ht="15.75" customHeight="1">
      <c r="B35" s="5" t="s">
        <v>111</v>
      </c>
    </row>
    <row r="36" ht="15.75" customHeight="1"/>
    <row r="37" ht="21.75" customHeight="1">
      <c r="B37" s="3" t="s">
        <v>112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B38" s="5" t="s">
        <v>113</v>
      </c>
    </row>
    <row r="39" ht="15.75" customHeight="1"/>
    <row r="40" ht="42.0" customHeight="1">
      <c r="B40" s="6" t="s">
        <v>114</v>
      </c>
      <c r="C40" s="6" t="s">
        <v>115</v>
      </c>
      <c r="D40" s="6" t="s">
        <v>116</v>
      </c>
      <c r="E40" s="6" t="s">
        <v>117</v>
      </c>
      <c r="F40" s="6" t="s">
        <v>118</v>
      </c>
      <c r="G40" s="6" t="s">
        <v>119</v>
      </c>
      <c r="H40" s="6" t="s">
        <v>120</v>
      </c>
      <c r="I40" s="6" t="s">
        <v>121</v>
      </c>
      <c r="J40" s="6" t="s">
        <v>122</v>
      </c>
      <c r="K40" s="6" t="s">
        <v>123</v>
      </c>
      <c r="L40" s="6" t="s">
        <v>124</v>
      </c>
      <c r="M40" s="6" t="s">
        <v>125</v>
      </c>
    </row>
    <row r="41" ht="15.75" customHeight="1">
      <c r="B41" s="36">
        <v>0.0</v>
      </c>
      <c r="C41" s="27">
        <v>0.0</v>
      </c>
      <c r="D41" s="27">
        <v>0.0</v>
      </c>
      <c r="E41" s="27">
        <v>0.0</v>
      </c>
      <c r="F41" s="32">
        <v>0.0</v>
      </c>
      <c r="G41" s="32"/>
      <c r="H41" s="27">
        <v>0.0</v>
      </c>
      <c r="I41" s="27">
        <v>0.0</v>
      </c>
      <c r="J41" s="27">
        <v>0.0</v>
      </c>
      <c r="K41" s="26">
        <f t="shared" ref="K41:K48" si="2">H41/INDEX($H$41:$H$48,MATCH(200,$B$41:$B$48,0))</f>
        <v>0</v>
      </c>
      <c r="L41" s="29"/>
      <c r="M41" s="29"/>
    </row>
    <row r="42" ht="15.75" customHeight="1">
      <c r="B42" s="36">
        <v>10.0</v>
      </c>
      <c r="C42" s="27">
        <v>0.3184</v>
      </c>
      <c r="D42" s="27">
        <v>0.0667</v>
      </c>
      <c r="E42" s="27">
        <v>0.6128</v>
      </c>
      <c r="F42" s="32">
        <v>0.0296</v>
      </c>
      <c r="G42" s="32">
        <v>0.3417</v>
      </c>
      <c r="H42" s="27">
        <v>1.0098</v>
      </c>
      <c r="I42" s="27">
        <v>0.0792</v>
      </c>
      <c r="J42" s="27">
        <v>-0.0175</v>
      </c>
      <c r="K42" s="26">
        <f t="shared" si="2"/>
        <v>0.09150386023</v>
      </c>
      <c r="L42" s="29">
        <f t="shared" ref="L42:L48" si="3">(H42-H41)/(B42-B41)*10</f>
        <v>1.0098</v>
      </c>
      <c r="M42" s="29">
        <f t="shared" ref="M42:M48" si="4">(C42-C41)/(B42-B41)*10</f>
        <v>0.3184</v>
      </c>
    </row>
    <row r="43" ht="15.75" customHeight="1">
      <c r="B43" s="36">
        <v>25.0</v>
      </c>
      <c r="C43" s="27">
        <v>2.1386</v>
      </c>
      <c r="D43" s="27">
        <v>1.5404</v>
      </c>
      <c r="E43" s="27">
        <v>2.7289</v>
      </c>
      <c r="F43" s="32">
        <v>0.095</v>
      </c>
      <c r="G43" s="32">
        <v>0.4365</v>
      </c>
      <c r="H43" s="27">
        <v>6.6246</v>
      </c>
      <c r="I43" s="27">
        <v>0.5825</v>
      </c>
      <c r="J43" s="27">
        <v>-0.0397</v>
      </c>
      <c r="K43" s="26">
        <f t="shared" si="2"/>
        <v>0.6002935953</v>
      </c>
      <c r="L43" s="29">
        <f t="shared" si="3"/>
        <v>3.7432</v>
      </c>
      <c r="M43" s="29">
        <f t="shared" si="4"/>
        <v>1.213466667</v>
      </c>
    </row>
    <row r="44" ht="15.75" customHeight="1">
      <c r="B44" s="36">
        <v>50.0</v>
      </c>
      <c r="C44" s="27">
        <v>3.1547</v>
      </c>
      <c r="D44" s="27">
        <v>2.3898</v>
      </c>
      <c r="E44" s="27">
        <v>3.9527</v>
      </c>
      <c r="F44" s="32">
        <v>0.1339</v>
      </c>
      <c r="G44" s="32">
        <v>0.4446</v>
      </c>
      <c r="H44" s="27">
        <v>9.3777</v>
      </c>
      <c r="I44" s="27">
        <v>0.8662</v>
      </c>
      <c r="J44" s="27">
        <v>0.1722</v>
      </c>
      <c r="K44" s="26">
        <f t="shared" si="2"/>
        <v>0.8497680235</v>
      </c>
      <c r="L44" s="29">
        <f t="shared" si="3"/>
        <v>1.10124</v>
      </c>
      <c r="M44" s="29">
        <f t="shared" si="4"/>
        <v>0.40644</v>
      </c>
    </row>
    <row r="45" ht="15.75" customHeight="1">
      <c r="B45" s="36">
        <v>70.0</v>
      </c>
      <c r="C45" s="27">
        <v>3.5355</v>
      </c>
      <c r="D45" s="27">
        <v>2.7158</v>
      </c>
      <c r="E45" s="27">
        <v>4.3672</v>
      </c>
      <c r="F45" s="32">
        <v>0.1604</v>
      </c>
      <c r="G45" s="32">
        <v>0.4322</v>
      </c>
      <c r="H45" s="27">
        <v>9.8078</v>
      </c>
      <c r="I45" s="27">
        <v>1.3873</v>
      </c>
      <c r="J45" s="27">
        <v>0.4817</v>
      </c>
      <c r="K45" s="26">
        <f t="shared" si="2"/>
        <v>0.8887418899</v>
      </c>
      <c r="L45" s="29">
        <f t="shared" si="3"/>
        <v>0.21505</v>
      </c>
      <c r="M45" s="29">
        <f t="shared" si="4"/>
        <v>0.1904</v>
      </c>
    </row>
    <row r="46" ht="15.75" customHeight="1">
      <c r="B46" s="36">
        <v>100.0</v>
      </c>
      <c r="C46" s="27">
        <v>4.1069</v>
      </c>
      <c r="D46" s="27">
        <v>3.1136</v>
      </c>
      <c r="E46" s="27">
        <v>5.0604</v>
      </c>
      <c r="F46" s="32">
        <v>0.1976</v>
      </c>
      <c r="G46" s="32">
        <v>0.4217</v>
      </c>
      <c r="H46" s="27">
        <v>10.267</v>
      </c>
      <c r="I46" s="27">
        <v>2.4986</v>
      </c>
      <c r="J46" s="27">
        <v>0.9567</v>
      </c>
      <c r="K46" s="26">
        <f t="shared" si="2"/>
        <v>0.9303526768</v>
      </c>
      <c r="L46" s="29">
        <f t="shared" si="3"/>
        <v>0.1530666667</v>
      </c>
      <c r="M46" s="29">
        <f t="shared" si="4"/>
        <v>0.1904666667</v>
      </c>
    </row>
    <row r="47" ht="15.75" customHeight="1">
      <c r="B47" s="36">
        <v>150.0</v>
      </c>
      <c r="C47" s="27">
        <v>4.953</v>
      </c>
      <c r="D47" s="27">
        <v>3.7734</v>
      </c>
      <c r="E47" s="27">
        <v>6.1186</v>
      </c>
      <c r="F47" s="32">
        <v>0.2388</v>
      </c>
      <c r="G47" s="32">
        <v>0.4212</v>
      </c>
      <c r="H47" s="27">
        <v>10.7743</v>
      </c>
      <c r="I47" s="27">
        <v>3.05</v>
      </c>
      <c r="J47" s="27">
        <v>2.0914</v>
      </c>
      <c r="K47" s="26">
        <f t="shared" si="2"/>
        <v>0.9763220849</v>
      </c>
      <c r="L47" s="29">
        <f t="shared" si="3"/>
        <v>0.10146</v>
      </c>
      <c r="M47" s="29">
        <f t="shared" si="4"/>
        <v>0.16922</v>
      </c>
    </row>
    <row r="48" ht="15.75" customHeight="1">
      <c r="B48" s="36">
        <v>200.0</v>
      </c>
      <c r="C48" s="27">
        <v>5.3806</v>
      </c>
      <c r="D48" s="27">
        <v>4.0508</v>
      </c>
      <c r="E48" s="27">
        <v>6.6073</v>
      </c>
      <c r="F48" s="32">
        <v>0.2696</v>
      </c>
      <c r="G48" s="32">
        <v>0.4149</v>
      </c>
      <c r="H48" s="27">
        <v>11.0356</v>
      </c>
      <c r="I48" s="27">
        <v>3.1216</v>
      </c>
      <c r="J48" s="27">
        <v>2.7244</v>
      </c>
      <c r="K48" s="26">
        <f t="shared" si="2"/>
        <v>1</v>
      </c>
      <c r="L48" s="29">
        <f t="shared" si="3"/>
        <v>0.05226</v>
      </c>
      <c r="M48" s="29">
        <f t="shared" si="4"/>
        <v>0.08552</v>
      </c>
    </row>
    <row r="49" ht="15.75" customHeight="1">
      <c r="B49" s="14" t="s">
        <v>126</v>
      </c>
      <c r="C49" s="36">
        <v>70.0</v>
      </c>
      <c r="E49" s="14" t="s">
        <v>127</v>
      </c>
      <c r="I49" s="37">
        <f t="array" ref="I49">INDEX(K41:K48,MATCH($C$49,B41:B48,0))</f>
        <v>0.8887418899</v>
      </c>
      <c r="K49" s="5" t="s">
        <v>128</v>
      </c>
      <c r="L49" s="38">
        <f>$C$49</f>
        <v>70</v>
      </c>
    </row>
    <row r="50" ht="15.75" customHeight="1">
      <c r="E50" s="14" t="s">
        <v>129</v>
      </c>
      <c r="I50" s="26">
        <f>1-$I$49</f>
        <v>0.1112581101</v>
      </c>
      <c r="K50" s="5" t="s">
        <v>130</v>
      </c>
      <c r="L50" s="26">
        <f>$I$49</f>
        <v>0.8887418899</v>
      </c>
    </row>
    <row r="51" ht="15.75" customHeight="1">
      <c r="E51" s="14" t="s">
        <v>131</v>
      </c>
      <c r="I51" s="26">
        <f t="array" ref="I51">INDEX(K41:K48,MATCH(25,B41:B48,0))</f>
        <v>0.6002935953</v>
      </c>
    </row>
    <row r="52" ht="15.75" customHeight="1">
      <c r="E52" s="14" t="s">
        <v>132</v>
      </c>
      <c r="I52" s="29">
        <f t="array" ref="I52">INDEX(C41:C48,MATCH($C$49,B41:B48,0))</f>
        <v>3.5355</v>
      </c>
    </row>
    <row r="53" ht="15.75" customHeight="1">
      <c r="E53" s="14" t="s">
        <v>133</v>
      </c>
      <c r="I53" s="29">
        <f t="array" ref="I53">INDEX(H41:H48,MATCH($C$49,B41:B48,0))</f>
        <v>9.8078</v>
      </c>
    </row>
    <row r="54" ht="15.75" customHeight="1"/>
    <row r="55" ht="15.75" customHeight="1"/>
    <row r="56" ht="21.75" customHeight="1">
      <c r="B56" s="3" t="s">
        <v>134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B57" s="5" t="s">
        <v>135</v>
      </c>
    </row>
    <row r="58" ht="15.75" customHeight="1"/>
    <row r="59" ht="15.75" customHeight="1">
      <c r="B59" s="39" t="s">
        <v>136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</row>
    <row r="60" ht="33.75" customHeight="1">
      <c r="B60" s="6" t="s">
        <v>114</v>
      </c>
      <c r="C60" s="6" t="s">
        <v>137</v>
      </c>
      <c r="D60" s="6" t="s">
        <v>118</v>
      </c>
      <c r="E60" s="6" t="s">
        <v>119</v>
      </c>
      <c r="F60" s="6" t="s">
        <v>138</v>
      </c>
      <c r="G60" s="6" t="s">
        <v>139</v>
      </c>
      <c r="H60" s="6" t="s">
        <v>140</v>
      </c>
      <c r="I60" s="6" t="s">
        <v>141</v>
      </c>
    </row>
    <row r="61" ht="15.75" customHeight="1">
      <c r="B61" s="36">
        <v>10.0</v>
      </c>
      <c r="C61" s="27">
        <v>0.4523</v>
      </c>
      <c r="D61" s="32">
        <v>0.0349</v>
      </c>
      <c r="E61" s="32">
        <v>0.373</v>
      </c>
      <c r="F61" s="27"/>
      <c r="G61" s="27"/>
      <c r="H61" s="27"/>
      <c r="I61" s="30">
        <f t="shared" ref="I61:I72" si="5">IF(B61&lt;=300,(C61-MIN($C$61:$C$72))/(SUMPRODUCT(MAX(($B$61:$B$72&lt;=300)*$C$61:$C$72))-MIN($C$61:$C$72))-(B61-MIN($B$61:$B$72))/(300-MIN($B$61:$B$72)),"")</f>
        <v>0</v>
      </c>
    </row>
    <row r="62" ht="15.75" customHeight="1">
      <c r="B62" s="36">
        <v>25.0</v>
      </c>
      <c r="C62" s="27">
        <v>2.5704</v>
      </c>
      <c r="D62" s="32">
        <v>0.1052</v>
      </c>
      <c r="E62" s="32">
        <v>0.4636</v>
      </c>
      <c r="F62" s="27">
        <v>1.4121</v>
      </c>
      <c r="G62" s="27">
        <v>1.1114</v>
      </c>
      <c r="H62" s="27">
        <v>1.7058</v>
      </c>
      <c r="I62" s="30">
        <f t="shared" si="5"/>
        <v>0.2274434074</v>
      </c>
    </row>
    <row r="63" ht="15.75" customHeight="1">
      <c r="B63" s="36">
        <v>50.0</v>
      </c>
      <c r="C63" s="27">
        <v>3.7283</v>
      </c>
      <c r="D63" s="32">
        <v>0.1485</v>
      </c>
      <c r="E63" s="32">
        <v>0.4683</v>
      </c>
      <c r="F63" s="27">
        <v>0.4632</v>
      </c>
      <c r="G63" s="27">
        <v>0.3473</v>
      </c>
      <c r="H63" s="27">
        <v>0.5694</v>
      </c>
      <c r="I63" s="30">
        <f t="shared" si="5"/>
        <v>0.2938488052</v>
      </c>
    </row>
    <row r="64" ht="15.75" customHeight="1">
      <c r="B64" s="36">
        <v>75.0</v>
      </c>
      <c r="C64" s="27">
        <v>4.189</v>
      </c>
      <c r="D64" s="32">
        <v>0.1816</v>
      </c>
      <c r="E64" s="32">
        <v>0.4519</v>
      </c>
      <c r="F64" s="27">
        <v>0.1843</v>
      </c>
      <c r="G64" s="27">
        <v>0.1055</v>
      </c>
      <c r="H64" s="27">
        <v>0.2527</v>
      </c>
      <c r="I64" s="30">
        <f t="shared" si="5"/>
        <v>0.2683625962</v>
      </c>
    </row>
    <row r="65" ht="15.75" customHeight="1">
      <c r="B65" s="36">
        <v>100.0</v>
      </c>
      <c r="C65" s="27">
        <v>4.8235</v>
      </c>
      <c r="D65" s="32">
        <v>0.2145</v>
      </c>
      <c r="E65" s="32">
        <v>0.4468</v>
      </c>
      <c r="F65" s="27">
        <v>0.2538</v>
      </c>
      <c r="G65" s="27">
        <v>0.1679</v>
      </c>
      <c r="H65" s="27">
        <v>0.3403</v>
      </c>
      <c r="I65" s="30">
        <f t="shared" si="5"/>
        <v>0.2657833884</v>
      </c>
    </row>
    <row r="66" ht="15.75" customHeight="1">
      <c r="B66" s="36">
        <v>125.0</v>
      </c>
      <c r="C66" s="27">
        <v>5.2388</v>
      </c>
      <c r="D66" s="32">
        <v>0.2391</v>
      </c>
      <c r="E66" s="32">
        <v>0.4421</v>
      </c>
      <c r="F66" s="27">
        <v>0.1661</v>
      </c>
      <c r="G66" s="27">
        <v>0.092</v>
      </c>
      <c r="H66" s="27">
        <v>0.2451</v>
      </c>
      <c r="I66" s="30">
        <f t="shared" si="5"/>
        <v>0.2343134172</v>
      </c>
    </row>
    <row r="67" ht="15.75" customHeight="1">
      <c r="B67" s="36">
        <v>150.0</v>
      </c>
      <c r="C67" s="27">
        <v>5.7427</v>
      </c>
      <c r="D67" s="32">
        <v>0.2574</v>
      </c>
      <c r="E67" s="32">
        <v>0.445</v>
      </c>
      <c r="F67" s="27">
        <v>0.2015</v>
      </c>
      <c r="G67" s="27">
        <v>0.1273</v>
      </c>
      <c r="H67" s="27">
        <v>0.27</v>
      </c>
      <c r="I67" s="30">
        <f t="shared" si="5"/>
        <v>0.2145210082</v>
      </c>
    </row>
    <row r="68" ht="15.75" customHeight="1">
      <c r="B68" s="36">
        <v>200.0</v>
      </c>
      <c r="C68" s="27">
        <v>6.2849</v>
      </c>
      <c r="D68" s="32">
        <v>0.2905</v>
      </c>
      <c r="E68" s="32">
        <v>0.4394</v>
      </c>
      <c r="F68" s="27">
        <v>0.1084</v>
      </c>
      <c r="G68" s="27">
        <v>0.0667</v>
      </c>
      <c r="H68" s="27">
        <v>0.1522</v>
      </c>
      <c r="I68" s="30">
        <f t="shared" si="5"/>
        <v>0.1135696782</v>
      </c>
    </row>
    <row r="69" ht="15.75" customHeight="1">
      <c r="B69" s="36">
        <v>250.0</v>
      </c>
      <c r="C69" s="27">
        <v>7.0994</v>
      </c>
      <c r="D69" s="32">
        <v>0.3211</v>
      </c>
      <c r="E69" s="32">
        <v>0.4429</v>
      </c>
      <c r="F69" s="27">
        <v>0.1629</v>
      </c>
      <c r="G69" s="27">
        <v>0.1083</v>
      </c>
      <c r="H69" s="27">
        <v>0.2173</v>
      </c>
      <c r="I69" s="30">
        <f t="shared" si="5"/>
        <v>0.0485077408</v>
      </c>
    </row>
    <row r="70" ht="15.75" customHeight="1">
      <c r="B70" s="36">
        <v>300.0</v>
      </c>
      <c r="C70" s="27">
        <v>8.0395</v>
      </c>
      <c r="D70" s="32">
        <v>0.352</v>
      </c>
      <c r="E70" s="32">
        <v>0.4483</v>
      </c>
      <c r="F70" s="27">
        <v>0.188</v>
      </c>
      <c r="G70" s="27">
        <v>0.1372</v>
      </c>
      <c r="H70" s="27">
        <v>0.2375</v>
      </c>
      <c r="I70" s="30">
        <f t="shared" si="5"/>
        <v>0</v>
      </c>
    </row>
    <row r="71" ht="15.75" customHeight="1">
      <c r="B71" s="36">
        <v>400.0</v>
      </c>
      <c r="C71" s="27">
        <v>11.0136</v>
      </c>
      <c r="D71" s="32">
        <v>0.4409</v>
      </c>
      <c r="E71" s="32">
        <v>0.4638</v>
      </c>
      <c r="F71" s="27">
        <v>0.2974</v>
      </c>
      <c r="G71" s="27">
        <v>0.2577</v>
      </c>
      <c r="H71" s="27">
        <v>0.3369</v>
      </c>
      <c r="I71" s="30" t="str">
        <f t="shared" si="5"/>
        <v/>
      </c>
    </row>
    <row r="72" ht="15.75" customHeight="1">
      <c r="B72" s="36">
        <v>500.0</v>
      </c>
      <c r="C72" s="27">
        <v>13.0454</v>
      </c>
      <c r="D72" s="32">
        <v>0.4955</v>
      </c>
      <c r="E72" s="32">
        <v>0.4737</v>
      </c>
      <c r="F72" s="27">
        <v>0.2032</v>
      </c>
      <c r="G72" s="27">
        <v>0.1728</v>
      </c>
      <c r="H72" s="27">
        <v>0.2323</v>
      </c>
      <c r="I72" s="30" t="str">
        <f t="shared" si="5"/>
        <v/>
      </c>
    </row>
    <row r="73" ht="15.75" customHeight="1">
      <c r="B73" s="14" t="s">
        <v>142</v>
      </c>
      <c r="C73" s="41">
        <f t="array" ref="C73">INDEX($B$61:$B$72,MATCH(MAX($I$61:$I$72),$I$61:$I$72,0))</f>
        <v>50</v>
      </c>
    </row>
    <row r="74" ht="15.75" customHeight="1"/>
    <row r="75" ht="15.75" customHeight="1">
      <c r="B75" s="39" t="s">
        <v>143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</row>
    <row r="76" ht="33.75" customHeight="1">
      <c r="B76" s="6" t="s">
        <v>114</v>
      </c>
      <c r="C76" s="6" t="s">
        <v>144</v>
      </c>
      <c r="D76" s="6" t="s">
        <v>145</v>
      </c>
      <c r="E76" s="6" t="s">
        <v>146</v>
      </c>
      <c r="F76" s="6" t="s">
        <v>147</v>
      </c>
      <c r="G76" s="6" t="s">
        <v>148</v>
      </c>
      <c r="H76" s="6" t="s">
        <v>149</v>
      </c>
    </row>
    <row r="77" ht="15.75" customHeight="1">
      <c r="B77" s="36">
        <v>10.0</v>
      </c>
      <c r="C77" s="27">
        <v>1.464</v>
      </c>
      <c r="D77" s="27">
        <v>0.085</v>
      </c>
      <c r="E77" s="27">
        <v>-0.034</v>
      </c>
      <c r="F77" s="30">
        <f t="shared" ref="F77:F88" si="6">IF(B77&lt;=300,(C77-MIN($C$77:$C$88))/(SUMPRODUCT(MAX(($B$77:$B$88&lt;=300)*$C$77:$C$88))-MIN($C$77:$C$88))-(B77-MIN($B$77:$B$88))/(300-MIN($B$77:$B$88)),"")</f>
        <v>0</v>
      </c>
      <c r="G77" s="30">
        <f t="shared" ref="G77:G88" si="7">IF(B77&lt;=300,(D77-MIN($D$77:$D$88))/(SUMPRODUCT(MAX(($B$77:$B$88&lt;=300)*$D$77:$D$88))-MIN($D$77:$D$88))-(B77-MIN($B$77:$B$88))/(300-MIN($B$77:$B$88)),"")</f>
        <v>0</v>
      </c>
      <c r="H77" s="30">
        <f t="shared" ref="H77:H88" si="8">IF(B77&lt;=300,(E77-MIN($E$77:$E$88))/(SUMPRODUCT(MAX(($B$77:$B$88&lt;=300)*$E$77:$E$88))-MIN($E$77:$E$88))-(B77-MIN($B$77:$B$88))/(300-MIN($B$77:$B$88)),"")</f>
        <v>0.007440334243</v>
      </c>
    </row>
    <row r="78" ht="15.75" customHeight="1">
      <c r="B78" s="36">
        <v>25.0</v>
      </c>
      <c r="C78" s="27">
        <v>8.0807</v>
      </c>
      <c r="D78" s="27">
        <v>0.5523</v>
      </c>
      <c r="E78" s="27">
        <v>-0.073</v>
      </c>
      <c r="F78" s="30">
        <f t="shared" si="6"/>
        <v>0.4553415376</v>
      </c>
      <c r="G78" s="30">
        <f t="shared" si="7"/>
        <v>0.04555099269</v>
      </c>
      <c r="H78" s="30">
        <f t="shared" si="8"/>
        <v>-0.05172413793</v>
      </c>
    </row>
    <row r="79" ht="15.75" customHeight="1">
      <c r="B79" s="36">
        <v>50.0</v>
      </c>
      <c r="C79" s="27">
        <v>11.2054</v>
      </c>
      <c r="D79" s="27">
        <v>0.8827</v>
      </c>
      <c r="E79" s="27">
        <v>0.1737</v>
      </c>
      <c r="F79" s="30">
        <f t="shared" si="6"/>
        <v>0.6085936034</v>
      </c>
      <c r="G79" s="30">
        <f t="shared" si="7"/>
        <v>0.02812154779</v>
      </c>
      <c r="H79" s="30">
        <f t="shared" si="8"/>
        <v>-0.09086615095</v>
      </c>
    </row>
    <row r="80" ht="15.75" customHeight="1">
      <c r="B80" s="36">
        <v>75.0</v>
      </c>
      <c r="C80" s="27">
        <v>11.4152</v>
      </c>
      <c r="D80" s="27">
        <v>1.6996</v>
      </c>
      <c r="E80" s="27">
        <v>0.675</v>
      </c>
      <c r="F80" s="30">
        <f t="shared" si="6"/>
        <v>0.5384645672</v>
      </c>
      <c r="G80" s="30">
        <f t="shared" si="7"/>
        <v>0.1119639862</v>
      </c>
      <c r="H80" s="30">
        <f t="shared" si="8"/>
        <v>-0.08143613582</v>
      </c>
    </row>
    <row r="81" ht="15.75" customHeight="1">
      <c r="B81" s="36">
        <v>100.0</v>
      </c>
      <c r="C81" s="27">
        <v>12.035</v>
      </c>
      <c r="D81" s="27">
        <v>2.9275</v>
      </c>
      <c r="E81" s="27">
        <v>1.1397</v>
      </c>
      <c r="F81" s="30">
        <f t="shared" si="6"/>
        <v>0.4997555632</v>
      </c>
      <c r="G81" s="30">
        <f t="shared" si="7"/>
        <v>0.2813619107</v>
      </c>
      <c r="H81" s="30">
        <f t="shared" si="8"/>
        <v>-0.0789885882</v>
      </c>
    </row>
    <row r="82" ht="15.75" customHeight="1">
      <c r="B82" s="36">
        <v>125.0</v>
      </c>
      <c r="C82" s="27">
        <v>12.334</v>
      </c>
      <c r="D82" s="27">
        <v>3.1438</v>
      </c>
      <c r="E82" s="27">
        <v>1.6836</v>
      </c>
      <c r="F82" s="30">
        <f t="shared" si="6"/>
        <v>0.4364622999</v>
      </c>
      <c r="G82" s="30">
        <f t="shared" si="7"/>
        <v>0.2401809306</v>
      </c>
      <c r="H82" s="30">
        <f t="shared" si="8"/>
        <v>-0.06143143873</v>
      </c>
    </row>
    <row r="83" ht="15.75" customHeight="1">
      <c r="B83" s="36">
        <v>150.0</v>
      </c>
      <c r="C83" s="27">
        <v>12.5395</v>
      </c>
      <c r="D83" s="27">
        <v>3.4921</v>
      </c>
      <c r="E83" s="27">
        <v>2.4102</v>
      </c>
      <c r="F83" s="30">
        <f t="shared" si="6"/>
        <v>0.3660037366</v>
      </c>
      <c r="G83" s="30">
        <f t="shared" si="7"/>
        <v>0.2264776249</v>
      </c>
      <c r="H83" s="30">
        <f t="shared" si="8"/>
        <v>-0.00901918501</v>
      </c>
    </row>
    <row r="84" ht="15.75" customHeight="1">
      <c r="B84" s="36">
        <v>200.0</v>
      </c>
      <c r="C84" s="27">
        <v>13.0535</v>
      </c>
      <c r="D84" s="27">
        <v>3.6477</v>
      </c>
      <c r="E84" s="27">
        <v>3.0854</v>
      </c>
      <c r="F84" s="30">
        <f t="shared" si="6"/>
        <v>0.232979935</v>
      </c>
      <c r="G84" s="30">
        <f t="shared" si="7"/>
        <v>0.08645418127</v>
      </c>
      <c r="H84" s="30">
        <f t="shared" si="8"/>
        <v>-0.05261980681</v>
      </c>
    </row>
    <row r="85" ht="15.75" customHeight="1">
      <c r="B85" s="36">
        <v>250.0</v>
      </c>
      <c r="C85" s="27">
        <v>13.6569</v>
      </c>
      <c r="D85" s="27">
        <v>4.2308</v>
      </c>
      <c r="E85" s="27">
        <v>4.0941</v>
      </c>
      <c r="F85" s="30">
        <f t="shared" si="6"/>
        <v>0.1068072332</v>
      </c>
      <c r="G85" s="30">
        <f t="shared" si="7"/>
        <v>0.03542093314</v>
      </c>
      <c r="H85" s="30">
        <f t="shared" si="8"/>
        <v>-0.03259603195</v>
      </c>
    </row>
    <row r="86" ht="15.75" customHeight="1">
      <c r="B86" s="36">
        <v>300.0</v>
      </c>
      <c r="C86" s="27">
        <v>14.513</v>
      </c>
      <c r="D86" s="27">
        <v>4.8889</v>
      </c>
      <c r="E86" s="27">
        <v>5.1687</v>
      </c>
      <c r="F86" s="30">
        <f t="shared" si="6"/>
        <v>0</v>
      </c>
      <c r="G86" s="30">
        <f t="shared" si="7"/>
        <v>0</v>
      </c>
      <c r="H86" s="30">
        <f t="shared" si="8"/>
        <v>0</v>
      </c>
    </row>
    <row r="87" ht="15.75" customHeight="1">
      <c r="B87" s="36">
        <v>400.0</v>
      </c>
      <c r="C87" s="27">
        <v>18.4346</v>
      </c>
      <c r="D87" s="27">
        <v>8.1716</v>
      </c>
      <c r="E87" s="27">
        <v>7.4909</v>
      </c>
      <c r="F87" s="30" t="str">
        <f t="shared" si="6"/>
        <v/>
      </c>
      <c r="G87" s="30" t="str">
        <f t="shared" si="7"/>
        <v/>
      </c>
      <c r="H87" s="30" t="str">
        <f t="shared" si="8"/>
        <v/>
      </c>
    </row>
    <row r="88" ht="15.75" customHeight="1">
      <c r="B88" s="36">
        <v>500.0</v>
      </c>
      <c r="C88" s="27">
        <v>20.0857</v>
      </c>
      <c r="D88" s="27">
        <v>10.2837</v>
      </c>
      <c r="E88" s="27">
        <v>9.7232</v>
      </c>
      <c r="F88" s="30" t="str">
        <f t="shared" si="6"/>
        <v/>
      </c>
      <c r="G88" s="30" t="str">
        <f t="shared" si="7"/>
        <v/>
      </c>
      <c r="H88" s="30" t="str">
        <f t="shared" si="8"/>
        <v/>
      </c>
    </row>
    <row r="89" ht="19.5" customHeight="1">
      <c r="B89" s="6" t="s">
        <v>150</v>
      </c>
      <c r="C89" s="6" t="s">
        <v>151</v>
      </c>
      <c r="D89" s="6" t="s">
        <v>152</v>
      </c>
      <c r="E89" s="6" t="s">
        <v>153</v>
      </c>
    </row>
    <row r="90" ht="15.75" customHeight="1">
      <c r="B90" s="10" t="s">
        <v>154</v>
      </c>
      <c r="C90" s="49">
        <v>8351.0</v>
      </c>
      <c r="D90" s="38">
        <f t="array" ref="D90">INDEX($B$77:$B$88,MATCH(MAX($F$77:$F$88),$F$77:$F$88,0))</f>
        <v>50</v>
      </c>
      <c r="E90" s="10" t="s">
        <v>155</v>
      </c>
    </row>
    <row r="91" ht="15.75" customHeight="1">
      <c r="B91" s="10" t="s">
        <v>156</v>
      </c>
      <c r="C91" s="49">
        <v>4261.0</v>
      </c>
      <c r="D91" s="38">
        <f t="array" ref="D91">INDEX($B$77:$B$88,MATCH(MAX($G$77:$G$88),$G$77:$G$88,0))</f>
        <v>100</v>
      </c>
      <c r="E91" s="10" t="s">
        <v>155</v>
      </c>
    </row>
    <row r="92" ht="15.75" customHeight="1">
      <c r="B92" s="10" t="s">
        <v>157</v>
      </c>
      <c r="C92" s="49">
        <v>14155.0</v>
      </c>
      <c r="D92" s="38">
        <f t="array" ref="D92">INDEX($B$77:$B$88,MATCH(MAX($H$77:$H$88),$H$77:$H$88,0))</f>
        <v>10</v>
      </c>
      <c r="E92" s="10" t="s">
        <v>158</v>
      </c>
    </row>
    <row r="93" ht="15.75" customHeight="1">
      <c r="B93" s="14" t="s">
        <v>159</v>
      </c>
      <c r="D93" s="50">
        <f>(D90*C90+D91*C91)/(C90+C91)</f>
        <v>66.89264193</v>
      </c>
    </row>
    <row r="94" ht="15.75" customHeight="1"/>
    <row r="95" ht="15.75" customHeight="1">
      <c r="B95" s="39" t="s">
        <v>160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ht="30.0" customHeight="1">
      <c r="B96" s="6" t="s">
        <v>161</v>
      </c>
      <c r="C96" s="6" t="s">
        <v>151</v>
      </c>
      <c r="D96" s="6" t="s">
        <v>152</v>
      </c>
      <c r="E96" s="6" t="s">
        <v>162</v>
      </c>
      <c r="F96" s="6" t="s">
        <v>163</v>
      </c>
      <c r="G96" s="6" t="s">
        <v>164</v>
      </c>
      <c r="I96" s="6" t="s">
        <v>161</v>
      </c>
      <c r="J96" s="6" t="s">
        <v>165</v>
      </c>
      <c r="K96" s="6" t="s">
        <v>151</v>
      </c>
      <c r="L96" s="6" t="s">
        <v>152</v>
      </c>
    </row>
    <row r="97" ht="15.75" customHeight="1">
      <c r="B97" s="10" t="s">
        <v>166</v>
      </c>
      <c r="C97" s="49">
        <v>2738.0</v>
      </c>
      <c r="D97" s="51">
        <v>50.0</v>
      </c>
      <c r="E97" s="27">
        <v>7.272</v>
      </c>
      <c r="F97" s="27">
        <v>8.9797</v>
      </c>
      <c r="G97" s="27">
        <v>14.1561</v>
      </c>
      <c r="I97" s="10" t="s">
        <v>167</v>
      </c>
      <c r="J97" s="10" t="s">
        <v>168</v>
      </c>
      <c r="K97" s="49">
        <v>327.0</v>
      </c>
      <c r="L97" s="51">
        <v>50.0</v>
      </c>
    </row>
    <row r="98" ht="15.75" customHeight="1">
      <c r="B98" s="10" t="s">
        <v>169</v>
      </c>
      <c r="C98" s="49">
        <v>2650.0</v>
      </c>
      <c r="D98" s="51">
        <v>50.0</v>
      </c>
      <c r="E98" s="27">
        <v>3.941</v>
      </c>
      <c r="F98" s="27">
        <v>5.0465</v>
      </c>
      <c r="G98" s="27">
        <v>7.4169</v>
      </c>
      <c r="I98" s="10" t="s">
        <v>170</v>
      </c>
      <c r="J98" s="10" t="s">
        <v>168</v>
      </c>
      <c r="K98" s="49">
        <v>236.0</v>
      </c>
      <c r="L98" s="51">
        <v>50.0</v>
      </c>
    </row>
    <row r="99" ht="15.75" customHeight="1">
      <c r="B99" s="10" t="s">
        <v>171</v>
      </c>
      <c r="C99" s="49">
        <v>1988.0</v>
      </c>
      <c r="D99" s="51">
        <v>50.0</v>
      </c>
      <c r="E99" s="27">
        <v>8.8667</v>
      </c>
      <c r="F99" s="27">
        <v>11.2787</v>
      </c>
      <c r="G99" s="27">
        <v>18.7049</v>
      </c>
      <c r="I99" s="10" t="s">
        <v>169</v>
      </c>
      <c r="J99" s="10" t="s">
        <v>168</v>
      </c>
      <c r="K99" s="49">
        <v>939.0</v>
      </c>
      <c r="L99" s="51">
        <v>50.0</v>
      </c>
    </row>
    <row r="100" ht="15.75" customHeight="1">
      <c r="B100" s="10" t="s">
        <v>172</v>
      </c>
      <c r="C100" s="49">
        <v>1877.0</v>
      </c>
      <c r="D100" s="51">
        <v>100.0</v>
      </c>
      <c r="E100" s="27">
        <v>1.0764</v>
      </c>
      <c r="F100" s="27">
        <v>1.4743</v>
      </c>
      <c r="G100" s="27">
        <v>2.0954</v>
      </c>
      <c r="I100" s="10" t="s">
        <v>169</v>
      </c>
      <c r="J100" s="10" t="s">
        <v>173</v>
      </c>
      <c r="K100" s="49">
        <v>376.0</v>
      </c>
      <c r="L100" s="51">
        <v>100.0</v>
      </c>
    </row>
    <row r="101" ht="15.75" customHeight="1">
      <c r="B101" s="10" t="s">
        <v>174</v>
      </c>
      <c r="C101" s="49">
        <v>1780.0</v>
      </c>
      <c r="D101" s="51">
        <v>50.0</v>
      </c>
      <c r="E101" s="27">
        <v>6.9202</v>
      </c>
      <c r="F101" s="27">
        <v>9.3753</v>
      </c>
      <c r="G101" s="27">
        <v>16.1419</v>
      </c>
      <c r="I101" s="10" t="s">
        <v>174</v>
      </c>
      <c r="J101" s="10" t="s">
        <v>168</v>
      </c>
      <c r="K101" s="49">
        <v>532.0</v>
      </c>
      <c r="L101" s="51">
        <v>50.0</v>
      </c>
    </row>
    <row r="102" ht="15.75" customHeight="1">
      <c r="B102" s="10" t="s">
        <v>175</v>
      </c>
      <c r="C102" s="49">
        <v>1747.0</v>
      </c>
      <c r="D102" s="51">
        <v>200.0</v>
      </c>
      <c r="E102" s="27">
        <v>0.8874</v>
      </c>
      <c r="F102" s="27">
        <v>1.261</v>
      </c>
      <c r="G102" s="27">
        <v>2.7073</v>
      </c>
      <c r="I102" s="10" t="s">
        <v>174</v>
      </c>
      <c r="J102" s="10" t="s">
        <v>173</v>
      </c>
      <c r="K102" s="49">
        <v>269.0</v>
      </c>
      <c r="L102" s="51">
        <v>100.0</v>
      </c>
    </row>
    <row r="103" ht="15.75" customHeight="1">
      <c r="B103" s="10" t="s">
        <v>176</v>
      </c>
      <c r="C103" s="49">
        <v>1662.0</v>
      </c>
      <c r="D103" s="51">
        <v>25.0</v>
      </c>
      <c r="E103" s="27">
        <v>3.0183</v>
      </c>
      <c r="F103" s="27">
        <v>4.279</v>
      </c>
      <c r="G103" s="27">
        <v>8.0158</v>
      </c>
      <c r="I103" s="10" t="s">
        <v>177</v>
      </c>
      <c r="J103" s="10" t="s">
        <v>168</v>
      </c>
      <c r="K103" s="49">
        <v>228.0</v>
      </c>
      <c r="L103" s="51">
        <v>50.0</v>
      </c>
    </row>
    <row r="104" ht="15.75" customHeight="1">
      <c r="B104" s="10" t="s">
        <v>167</v>
      </c>
      <c r="C104" s="49">
        <v>1203.0</v>
      </c>
      <c r="D104" s="51">
        <v>75.0</v>
      </c>
      <c r="E104" s="27">
        <v>1.478</v>
      </c>
      <c r="F104" s="27">
        <v>2.1089</v>
      </c>
      <c r="G104" s="27">
        <v>2.9958</v>
      </c>
      <c r="I104" s="10" t="s">
        <v>176</v>
      </c>
      <c r="J104" s="10" t="s">
        <v>168</v>
      </c>
      <c r="K104" s="49">
        <v>486.0</v>
      </c>
      <c r="L104" s="51">
        <v>25.0</v>
      </c>
    </row>
    <row r="105" ht="15.75" customHeight="1">
      <c r="B105" s="10" t="s">
        <v>178</v>
      </c>
      <c r="C105" s="49">
        <v>931.0</v>
      </c>
      <c r="D105" s="51">
        <v>100.0</v>
      </c>
      <c r="E105" s="27">
        <v>0.7462</v>
      </c>
      <c r="F105" s="27">
        <v>2.0297</v>
      </c>
      <c r="G105" s="27">
        <v>4.42</v>
      </c>
      <c r="I105" s="10" t="s">
        <v>176</v>
      </c>
      <c r="J105" s="10" t="s">
        <v>173</v>
      </c>
      <c r="K105" s="49">
        <v>283.0</v>
      </c>
      <c r="L105" s="51">
        <v>250.0</v>
      </c>
    </row>
    <row r="106" ht="15.75" customHeight="1">
      <c r="B106" s="10" t="s">
        <v>170</v>
      </c>
      <c r="C106" s="49">
        <v>841.0</v>
      </c>
      <c r="D106" s="51">
        <v>50.0</v>
      </c>
      <c r="E106" s="27">
        <v>3.0991</v>
      </c>
      <c r="F106" s="27">
        <v>4.069</v>
      </c>
      <c r="G106" s="27">
        <v>7.6405</v>
      </c>
      <c r="I106" s="10" t="s">
        <v>179</v>
      </c>
      <c r="J106" s="10" t="s">
        <v>168</v>
      </c>
      <c r="K106" s="49">
        <v>209.0</v>
      </c>
      <c r="L106" s="51">
        <v>50.0</v>
      </c>
    </row>
    <row r="107" ht="15.75" customHeight="1">
      <c r="B107" s="10" t="s">
        <v>179</v>
      </c>
      <c r="C107" s="49">
        <v>817.0</v>
      </c>
      <c r="D107" s="51">
        <v>100.0</v>
      </c>
      <c r="E107" s="27">
        <v>5.9123</v>
      </c>
      <c r="F107" s="27">
        <v>9.8972</v>
      </c>
      <c r="G107" s="27">
        <v>17.084</v>
      </c>
      <c r="I107" s="10" t="s">
        <v>166</v>
      </c>
      <c r="J107" s="10" t="s">
        <v>168</v>
      </c>
      <c r="K107" s="49">
        <v>922.0</v>
      </c>
      <c r="L107" s="51">
        <v>50.0</v>
      </c>
    </row>
    <row r="108" ht="15.75" customHeight="1">
      <c r="B108" s="10" t="s">
        <v>180</v>
      </c>
      <c r="C108" s="49">
        <v>764.0</v>
      </c>
      <c r="D108" s="51">
        <v>10.0</v>
      </c>
      <c r="E108" s="27">
        <v>-0.5118</v>
      </c>
      <c r="F108" s="27">
        <v>-0.0065</v>
      </c>
      <c r="G108" s="27">
        <v>0.5733</v>
      </c>
      <c r="I108" s="10" t="s">
        <v>166</v>
      </c>
      <c r="J108" s="10" t="s">
        <v>173</v>
      </c>
      <c r="K108" s="49">
        <v>451.0</v>
      </c>
      <c r="L108" s="51">
        <v>125.0</v>
      </c>
    </row>
    <row r="109" ht="15.75" customHeight="1">
      <c r="B109" s="10" t="s">
        <v>177</v>
      </c>
      <c r="C109" s="49">
        <v>762.0</v>
      </c>
      <c r="D109" s="51">
        <v>25.0</v>
      </c>
      <c r="E109" s="27">
        <v>2.6947</v>
      </c>
      <c r="F109" s="27">
        <v>3.7126</v>
      </c>
      <c r="G109" s="27">
        <v>6.7865</v>
      </c>
      <c r="I109" s="10" t="s">
        <v>175</v>
      </c>
      <c r="J109" s="10" t="s">
        <v>168</v>
      </c>
      <c r="K109" s="49">
        <v>600.0</v>
      </c>
      <c r="L109" s="51">
        <v>50.0</v>
      </c>
    </row>
    <row r="110" ht="15.75" customHeight="1">
      <c r="B110" s="10" t="s">
        <v>181</v>
      </c>
      <c r="C110" s="49">
        <v>666.0</v>
      </c>
      <c r="D110" s="51">
        <v>50.0</v>
      </c>
      <c r="E110" s="27">
        <v>3.3934</v>
      </c>
      <c r="F110" s="27">
        <v>2.2788</v>
      </c>
      <c r="G110" s="27">
        <v>7.2833</v>
      </c>
      <c r="I110" s="10" t="s">
        <v>175</v>
      </c>
      <c r="J110" s="10" t="s">
        <v>173</v>
      </c>
      <c r="K110" s="49">
        <v>307.0</v>
      </c>
      <c r="L110" s="51">
        <v>200.0</v>
      </c>
    </row>
    <row r="111" ht="15.75" customHeight="1">
      <c r="B111" s="10" t="s">
        <v>182</v>
      </c>
      <c r="C111" s="49">
        <v>633.0</v>
      </c>
      <c r="D111" s="51">
        <v>25.0</v>
      </c>
      <c r="E111" s="27">
        <v>2.4671</v>
      </c>
      <c r="F111" s="27">
        <v>1.9289</v>
      </c>
      <c r="G111" s="27">
        <v>5.4781</v>
      </c>
      <c r="I111" s="10" t="s">
        <v>181</v>
      </c>
      <c r="J111" s="10" t="s">
        <v>168</v>
      </c>
      <c r="K111" s="49">
        <v>212.0</v>
      </c>
      <c r="L111" s="51">
        <v>50.0</v>
      </c>
    </row>
    <row r="112" ht="15.75" customHeight="1">
      <c r="B112" s="10" t="s">
        <v>183</v>
      </c>
      <c r="C112" s="49">
        <v>562.0</v>
      </c>
      <c r="D112" s="51">
        <v>75.0</v>
      </c>
      <c r="E112" s="27">
        <v>2.1785</v>
      </c>
      <c r="F112" s="27">
        <v>2.7972</v>
      </c>
      <c r="G112" s="27">
        <v>4.8215</v>
      </c>
      <c r="I112" s="10" t="s">
        <v>172</v>
      </c>
      <c r="J112" s="10" t="s">
        <v>168</v>
      </c>
      <c r="K112" s="49">
        <v>552.0</v>
      </c>
      <c r="L112" s="51">
        <v>100.0</v>
      </c>
    </row>
    <row r="113" ht="15.75" customHeight="1">
      <c r="B113" s="10" t="s">
        <v>184</v>
      </c>
      <c r="C113" s="49">
        <v>555.0</v>
      </c>
      <c r="D113" s="51">
        <v>25.0</v>
      </c>
      <c r="E113" s="27">
        <v>0.8745</v>
      </c>
      <c r="F113" s="27">
        <v>0.197</v>
      </c>
      <c r="G113" s="27">
        <v>2.0925</v>
      </c>
      <c r="I113" s="10" t="s">
        <v>172</v>
      </c>
      <c r="J113" s="10" t="s">
        <v>173</v>
      </c>
      <c r="K113" s="49">
        <v>308.0</v>
      </c>
      <c r="L113" s="51">
        <v>100.0</v>
      </c>
    </row>
    <row r="114" ht="15.75" customHeight="1">
      <c r="B114" s="10" t="s">
        <v>185</v>
      </c>
      <c r="C114" s="49">
        <v>375.0</v>
      </c>
      <c r="D114" s="51">
        <v>100.0</v>
      </c>
      <c r="E114" s="27">
        <v>5.5076</v>
      </c>
      <c r="F114" s="27">
        <v>7.8347</v>
      </c>
      <c r="G114" s="27">
        <v>9.4729</v>
      </c>
      <c r="I114" s="10" t="s">
        <v>178</v>
      </c>
      <c r="J114" s="10" t="s">
        <v>168</v>
      </c>
      <c r="K114" s="49">
        <v>244.0</v>
      </c>
      <c r="L114" s="51">
        <v>100.0</v>
      </c>
    </row>
    <row r="115" ht="15.75" customHeight="1">
      <c r="B115" s="10" t="s">
        <v>186</v>
      </c>
      <c r="C115" s="49">
        <v>353.0</v>
      </c>
      <c r="D115" s="51">
        <v>150.0</v>
      </c>
      <c r="E115" s="27">
        <v>-0.3286</v>
      </c>
      <c r="F115" s="27">
        <v>0.7715</v>
      </c>
      <c r="G115" s="27">
        <v>0.9868</v>
      </c>
      <c r="I115" s="10" t="s">
        <v>180</v>
      </c>
      <c r="J115" s="10" t="s">
        <v>168</v>
      </c>
      <c r="K115" s="49">
        <v>240.0</v>
      </c>
      <c r="L115" s="51">
        <v>10.0</v>
      </c>
    </row>
    <row r="116" ht="15.75" customHeight="1">
      <c r="B116" s="10" t="s">
        <v>187</v>
      </c>
      <c r="C116" s="49">
        <v>336.0</v>
      </c>
      <c r="D116" s="51">
        <v>50.0</v>
      </c>
      <c r="E116" s="27">
        <v>1.9603</v>
      </c>
      <c r="F116" s="27">
        <v>1.1944</v>
      </c>
      <c r="G116" s="27">
        <v>2.121</v>
      </c>
      <c r="I116" s="10" t="s">
        <v>171</v>
      </c>
      <c r="J116" s="10" t="s">
        <v>168</v>
      </c>
      <c r="K116" s="49">
        <v>621.0</v>
      </c>
      <c r="L116" s="51">
        <v>50.0</v>
      </c>
    </row>
    <row r="117" ht="15.75" customHeight="1">
      <c r="I117" s="10" t="s">
        <v>171</v>
      </c>
      <c r="J117" s="10" t="s">
        <v>173</v>
      </c>
      <c r="K117" s="49">
        <v>307.0</v>
      </c>
      <c r="L117" s="51">
        <v>150.0</v>
      </c>
    </row>
    <row r="118" ht="15.75" customHeight="1">
      <c r="B118" s="14" t="s">
        <v>188</v>
      </c>
      <c r="D118" s="50">
        <f>SUMPRODUCT(C97:C116,D97:D116)/SUM(C97:C116)</f>
        <v>68.09875215</v>
      </c>
      <c r="I118" s="14" t="s">
        <v>188</v>
      </c>
      <c r="L118" s="50">
        <f>SUMPRODUCT(K97:K117,L97:L117)/SUM(K97:K117)</f>
        <v>76.92507804</v>
      </c>
    </row>
    <row r="119" ht="15.75" customHeight="1"/>
    <row r="120" ht="15.75" customHeight="1">
      <c r="B120" s="39" t="s">
        <v>189</v>
      </c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</row>
    <row r="121" ht="21.75" customHeight="1">
      <c r="B121" s="6" t="s">
        <v>190</v>
      </c>
      <c r="C121" s="6" t="s">
        <v>191</v>
      </c>
      <c r="D121" s="6" t="s">
        <v>151</v>
      </c>
      <c r="E121" s="6" t="s">
        <v>152</v>
      </c>
      <c r="F121" s="6" t="s">
        <v>192</v>
      </c>
    </row>
    <row r="122" ht="15.75" customHeight="1">
      <c r="B122" s="10" t="s">
        <v>193</v>
      </c>
      <c r="C122" s="49">
        <v>1.0</v>
      </c>
      <c r="D122" s="49">
        <v>26767.0</v>
      </c>
      <c r="E122" s="50">
        <f>$C$73</f>
        <v>50</v>
      </c>
      <c r="F122" s="5" t="s">
        <v>194</v>
      </c>
    </row>
    <row r="123" ht="15.75" customHeight="1">
      <c r="B123" s="10" t="s">
        <v>195</v>
      </c>
      <c r="C123" s="49">
        <v>2.0</v>
      </c>
      <c r="D123" s="49">
        <v>12612.0</v>
      </c>
      <c r="E123" s="50">
        <f>$D$93</f>
        <v>66.89264193</v>
      </c>
      <c r="F123" s="5" t="s">
        <v>196</v>
      </c>
    </row>
    <row r="124" ht="15.75" customHeight="1">
      <c r="B124" s="10" t="s">
        <v>197</v>
      </c>
      <c r="C124" s="49">
        <v>20.0</v>
      </c>
      <c r="D124" s="49">
        <v>23240.0</v>
      </c>
      <c r="E124" s="50">
        <f>$D$118</f>
        <v>68.09875215</v>
      </c>
      <c r="F124" s="5" t="s">
        <v>198</v>
      </c>
    </row>
    <row r="125" ht="15.75" customHeight="1">
      <c r="B125" s="10" t="s">
        <v>199</v>
      </c>
      <c r="C125" s="49">
        <v>21.0</v>
      </c>
      <c r="D125" s="49">
        <v>8649.0</v>
      </c>
      <c r="E125" s="50">
        <f>$L$118</f>
        <v>76.92507804</v>
      </c>
      <c r="F125" s="5" t="s">
        <v>200</v>
      </c>
    </row>
    <row r="126" ht="15.75" customHeight="1">
      <c r="B126" s="14" t="s">
        <v>201</v>
      </c>
      <c r="E126" s="41">
        <f>ROUND(AVERAGE(E122:E125),0)</f>
        <v>65</v>
      </c>
      <c r="F126" s="50">
        <f>AVERAGE(E122:E125)</f>
        <v>65.47911803</v>
      </c>
      <c r="G126" s="5" t="s">
        <v>202</v>
      </c>
    </row>
    <row r="127" ht="15.75" customHeight="1"/>
    <row r="128" ht="15.75" customHeight="1"/>
    <row r="129" ht="21.75" customHeight="1">
      <c r="B129" s="3" t="s">
        <v>203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B130" s="5" t="s">
        <v>204</v>
      </c>
    </row>
    <row r="131" ht="15.75" customHeight="1"/>
    <row r="132" ht="15.75" customHeight="1">
      <c r="B132" s="39" t="s">
        <v>205</v>
      </c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</row>
    <row r="133" ht="33.75" customHeight="1">
      <c r="B133" s="6" t="s">
        <v>114</v>
      </c>
      <c r="C133" s="6" t="s">
        <v>137</v>
      </c>
      <c r="D133" s="6" t="s">
        <v>118</v>
      </c>
      <c r="E133" s="6" t="s">
        <v>119</v>
      </c>
      <c r="F133" s="6" t="s">
        <v>138</v>
      </c>
      <c r="G133" s="6" t="s">
        <v>139</v>
      </c>
      <c r="H133" s="6" t="s">
        <v>140</v>
      </c>
      <c r="I133" s="6" t="s">
        <v>141</v>
      </c>
    </row>
    <row r="134" ht="15.75" customHeight="1">
      <c r="B134" s="36">
        <v>10.0</v>
      </c>
      <c r="C134" s="27">
        <v>4.8803</v>
      </c>
      <c r="D134" s="32">
        <v>0.2744</v>
      </c>
      <c r="E134" s="32">
        <v>0.4069</v>
      </c>
      <c r="F134" s="27"/>
      <c r="G134" s="27"/>
      <c r="H134" s="27"/>
      <c r="I134" s="30">
        <f t="shared" ref="I134:I145" si="9">IF(B134&lt;=300,(C134-MIN($C$134:$C$145))/(SUMPRODUCT(MAX(($B$134:$B$145&lt;=300)*$C$134:$C$145))-MIN($C$134:$C$145))-(B134-MIN($B$134:$B$145))/(300-MIN($B$134:$B$145)),"")</f>
        <v>0</v>
      </c>
    </row>
    <row r="135" ht="15.75" customHeight="1">
      <c r="B135" s="36">
        <v>25.0</v>
      </c>
      <c r="C135" s="27">
        <v>14.7662</v>
      </c>
      <c r="D135" s="32">
        <v>0.4217</v>
      </c>
      <c r="E135" s="32">
        <v>0.5407</v>
      </c>
      <c r="F135" s="27">
        <v>6.5906</v>
      </c>
      <c r="G135" s="27">
        <v>5.189</v>
      </c>
      <c r="H135" s="27">
        <v>8.2573</v>
      </c>
      <c r="I135" s="30">
        <f t="shared" si="9"/>
        <v>0.1768769554</v>
      </c>
    </row>
    <row r="136" ht="15.75" customHeight="1">
      <c r="B136" s="36">
        <v>50.0</v>
      </c>
      <c r="C136" s="27">
        <v>19.3602</v>
      </c>
      <c r="D136" s="32">
        <v>0.5037</v>
      </c>
      <c r="E136" s="32">
        <v>0.5661</v>
      </c>
      <c r="F136" s="27">
        <v>1.8376</v>
      </c>
      <c r="G136" s="27">
        <v>1.019</v>
      </c>
      <c r="H136" s="27">
        <v>2.6119</v>
      </c>
      <c r="I136" s="30">
        <f t="shared" si="9"/>
        <v>0.1969015018</v>
      </c>
    </row>
    <row r="137" ht="15.75" customHeight="1">
      <c r="B137" s="36">
        <v>75.0</v>
      </c>
      <c r="C137" s="27">
        <v>22.5109</v>
      </c>
      <c r="D137" s="32">
        <v>0.5642</v>
      </c>
      <c r="E137" s="32">
        <v>0.5769</v>
      </c>
      <c r="F137" s="27">
        <v>1.2603</v>
      </c>
      <c r="G137" s="27">
        <v>0.7078</v>
      </c>
      <c r="H137" s="27">
        <v>1.8675</v>
      </c>
      <c r="I137" s="30">
        <f t="shared" si="9"/>
        <v>0.183551246</v>
      </c>
    </row>
    <row r="138" ht="15.75" customHeight="1">
      <c r="B138" s="36">
        <v>100.0</v>
      </c>
      <c r="C138" s="27">
        <v>26.5248</v>
      </c>
      <c r="D138" s="32">
        <v>0.6369</v>
      </c>
      <c r="E138" s="32">
        <v>0.5903</v>
      </c>
      <c r="F138" s="27">
        <v>1.6056</v>
      </c>
      <c r="G138" s="27">
        <v>1.0296</v>
      </c>
      <c r="H138" s="27">
        <v>2.0917</v>
      </c>
      <c r="I138" s="30">
        <f t="shared" si="9"/>
        <v>0.190161587</v>
      </c>
    </row>
    <row r="139" ht="15.75" customHeight="1">
      <c r="B139" s="36">
        <v>125.0</v>
      </c>
      <c r="C139" s="27">
        <v>29.0175</v>
      </c>
      <c r="D139" s="32">
        <v>0.6927</v>
      </c>
      <c r="E139" s="32">
        <v>0.5922</v>
      </c>
      <c r="F139" s="27">
        <v>0.9971</v>
      </c>
      <c r="G139" s="27">
        <v>0.2748</v>
      </c>
      <c r="H139" s="27">
        <v>1.6645</v>
      </c>
      <c r="I139" s="30">
        <f t="shared" si="9"/>
        <v>0.1615957697</v>
      </c>
    </row>
    <row r="140" ht="15.75" customHeight="1">
      <c r="B140" s="36">
        <v>150.0</v>
      </c>
      <c r="C140" s="27">
        <v>32.6514</v>
      </c>
      <c r="D140" s="32">
        <v>0.7202</v>
      </c>
      <c r="E140" s="32">
        <v>0.619</v>
      </c>
      <c r="F140" s="27">
        <v>1.4536</v>
      </c>
      <c r="G140" s="27">
        <v>1.1329</v>
      </c>
      <c r="H140" s="27">
        <v>1.793</v>
      </c>
      <c r="I140" s="30">
        <f t="shared" si="9"/>
        <v>0.1594190083</v>
      </c>
    </row>
    <row r="141" ht="15.75" customHeight="1">
      <c r="B141" s="36">
        <v>200.0</v>
      </c>
      <c r="C141" s="27">
        <v>37.5194</v>
      </c>
      <c r="D141" s="32">
        <v>0.7532</v>
      </c>
      <c r="E141" s="32">
        <v>0.6545</v>
      </c>
      <c r="F141" s="27">
        <v>0.9736</v>
      </c>
      <c r="G141" s="27">
        <v>0.678</v>
      </c>
      <c r="H141" s="27">
        <v>1.2571</v>
      </c>
      <c r="I141" s="30">
        <f t="shared" si="9"/>
        <v>0.09957262149</v>
      </c>
    </row>
    <row r="142" ht="15.75" customHeight="1">
      <c r="B142" s="36">
        <v>250.0</v>
      </c>
      <c r="C142" s="27">
        <v>43.4028</v>
      </c>
      <c r="D142" s="32">
        <v>0.7835</v>
      </c>
      <c r="E142" s="32">
        <v>0.6987</v>
      </c>
      <c r="F142" s="27">
        <v>1.1767</v>
      </c>
      <c r="G142" s="27">
        <v>0.8377</v>
      </c>
      <c r="H142" s="27">
        <v>1.485</v>
      </c>
      <c r="I142" s="30">
        <f t="shared" si="9"/>
        <v>0.06320629724</v>
      </c>
    </row>
    <row r="143" ht="15.75" customHeight="1">
      <c r="B143" s="36">
        <v>300.0</v>
      </c>
      <c r="C143" s="27">
        <v>48.1255</v>
      </c>
      <c r="D143" s="32">
        <v>0.8043</v>
      </c>
      <c r="E143" s="32">
        <v>0.7333</v>
      </c>
      <c r="F143" s="27">
        <v>0.9445</v>
      </c>
      <c r="G143" s="27">
        <v>0.668</v>
      </c>
      <c r="H143" s="27">
        <v>1.2863</v>
      </c>
      <c r="I143" s="30">
        <f t="shared" si="9"/>
        <v>0</v>
      </c>
    </row>
    <row r="144" ht="15.75" customHeight="1">
      <c r="B144" s="36">
        <v>400.0</v>
      </c>
      <c r="C144" s="27">
        <v>55.0386</v>
      </c>
      <c r="D144" s="32">
        <v>0.8272</v>
      </c>
      <c r="E144" s="32">
        <v>0.7837</v>
      </c>
      <c r="F144" s="27">
        <v>0.6913</v>
      </c>
      <c r="G144" s="27">
        <v>0.5494</v>
      </c>
      <c r="H144" s="27">
        <v>0.8533</v>
      </c>
      <c r="I144" s="30" t="str">
        <f t="shared" si="9"/>
        <v/>
      </c>
    </row>
    <row r="145" ht="15.75" customHeight="1">
      <c r="B145" s="36">
        <v>500.0</v>
      </c>
      <c r="C145" s="27">
        <v>60.6996</v>
      </c>
      <c r="D145" s="32">
        <v>0.8386</v>
      </c>
      <c r="E145" s="32">
        <v>0.8292</v>
      </c>
      <c r="F145" s="27">
        <v>0.5661</v>
      </c>
      <c r="G145" s="27">
        <v>0.3849</v>
      </c>
      <c r="H145" s="27">
        <v>0.7529</v>
      </c>
      <c r="I145" s="30" t="str">
        <f t="shared" si="9"/>
        <v/>
      </c>
    </row>
    <row r="146" ht="15.75" customHeight="1">
      <c r="B146" s="14" t="s">
        <v>206</v>
      </c>
      <c r="C146" s="38">
        <f t="array" ref="C146">INDEX($B$134:$B$145,MATCH(MAX($I$134:$I$145),$I$134:$I$145,0))</f>
        <v>50</v>
      </c>
      <c r="E146" s="5" t="s">
        <v>207</v>
      </c>
    </row>
    <row r="147" ht="15.75" customHeight="1"/>
    <row r="148" ht="15.75" customHeight="1">
      <c r="B148" s="39" t="s">
        <v>208</v>
      </c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</row>
    <row r="149" ht="30.0" customHeight="1">
      <c r="B149" s="6" t="s">
        <v>209</v>
      </c>
      <c r="C149" s="6" t="s">
        <v>210</v>
      </c>
      <c r="D149" s="6" t="s">
        <v>161</v>
      </c>
      <c r="E149" s="6" t="s">
        <v>151</v>
      </c>
      <c r="F149" s="6" t="s">
        <v>211</v>
      </c>
      <c r="G149" s="6" t="s">
        <v>162</v>
      </c>
      <c r="H149" s="6" t="s">
        <v>163</v>
      </c>
      <c r="I149" s="6" t="s">
        <v>164</v>
      </c>
      <c r="J149" s="6" t="s">
        <v>152</v>
      </c>
      <c r="K149" s="6" t="s">
        <v>212</v>
      </c>
      <c r="L149" s="6" t="s">
        <v>213</v>
      </c>
    </row>
    <row r="150" ht="15.75" customHeight="1">
      <c r="B150" s="52">
        <v>1.0</v>
      </c>
      <c r="C150" s="10" t="s">
        <v>214</v>
      </c>
      <c r="D150" s="10" t="s">
        <v>169</v>
      </c>
      <c r="E150" s="49">
        <v>64.0</v>
      </c>
      <c r="F150" s="27">
        <v>22.9427</v>
      </c>
      <c r="G150" s="27">
        <v>27.8021</v>
      </c>
      <c r="H150" s="27">
        <v>36.901</v>
      </c>
      <c r="I150" s="27">
        <v>56.0208</v>
      </c>
      <c r="J150" s="51">
        <v>75.0</v>
      </c>
      <c r="K150" s="53" t="str">
        <f t="shared" ref="K150:K169" si="10">IF(J150="","–",IF(J150&lt;=70,"Yes","No"))</f>
        <v>No</v>
      </c>
      <c r="L150" s="5"/>
    </row>
    <row r="151" ht="15.75" customHeight="1">
      <c r="B151" s="52">
        <v>2.0</v>
      </c>
      <c r="C151" s="10" t="s">
        <v>215</v>
      </c>
      <c r="D151" s="10" t="s">
        <v>176</v>
      </c>
      <c r="E151" s="49">
        <v>170.0</v>
      </c>
      <c r="F151" s="27">
        <v>24.8039</v>
      </c>
      <c r="G151" s="27">
        <v>26.7471</v>
      </c>
      <c r="H151" s="27">
        <v>33.6686</v>
      </c>
      <c r="I151" s="27">
        <v>57.2784</v>
      </c>
      <c r="J151" s="51">
        <v>25.0</v>
      </c>
      <c r="K151" s="53" t="str">
        <f t="shared" si="10"/>
        <v>Yes</v>
      </c>
      <c r="L151" s="5"/>
    </row>
    <row r="152" ht="15.75" customHeight="1">
      <c r="B152" s="52">
        <v>3.0</v>
      </c>
      <c r="C152" s="10" t="s">
        <v>216</v>
      </c>
      <c r="D152" s="10" t="s">
        <v>179</v>
      </c>
      <c r="E152" s="49">
        <v>90.0</v>
      </c>
      <c r="F152" s="27">
        <v>10.1667</v>
      </c>
      <c r="G152" s="27">
        <v>14.6296</v>
      </c>
      <c r="H152" s="27">
        <v>23.0296</v>
      </c>
      <c r="I152" s="27">
        <v>49.7519</v>
      </c>
      <c r="J152" s="51">
        <v>50.0</v>
      </c>
      <c r="K152" s="53" t="str">
        <f t="shared" si="10"/>
        <v>Yes</v>
      </c>
      <c r="L152" s="5"/>
    </row>
    <row r="153" ht="15.75" customHeight="1">
      <c r="B153" s="52">
        <v>4.0</v>
      </c>
      <c r="C153" s="10" t="s">
        <v>217</v>
      </c>
      <c r="D153" s="10" t="s">
        <v>174</v>
      </c>
      <c r="E153" s="49">
        <v>124.0</v>
      </c>
      <c r="F153" s="27">
        <v>10.7285</v>
      </c>
      <c r="G153" s="27">
        <v>10.5108</v>
      </c>
      <c r="H153" s="27">
        <v>19.2366</v>
      </c>
      <c r="I153" s="27">
        <v>50.8253</v>
      </c>
      <c r="J153" s="51">
        <v>25.0</v>
      </c>
      <c r="K153" s="53" t="str">
        <f t="shared" si="10"/>
        <v>Yes</v>
      </c>
      <c r="L153" s="5"/>
    </row>
    <row r="154" ht="15.75" customHeight="1">
      <c r="B154" s="52">
        <v>5.0</v>
      </c>
      <c r="C154" s="10" t="s">
        <v>218</v>
      </c>
      <c r="D154" s="10" t="s">
        <v>179</v>
      </c>
      <c r="E154" s="49">
        <v>63.0</v>
      </c>
      <c r="F154" s="27">
        <v>19.2169</v>
      </c>
      <c r="G154" s="27">
        <v>19.5926</v>
      </c>
      <c r="H154" s="27">
        <v>31.873</v>
      </c>
      <c r="I154" s="27">
        <v>45.8148</v>
      </c>
      <c r="J154" s="51">
        <v>100.0</v>
      </c>
      <c r="K154" s="53" t="str">
        <f t="shared" si="10"/>
        <v>No</v>
      </c>
      <c r="L154" s="5"/>
    </row>
    <row r="155" ht="15.75" customHeight="1">
      <c r="B155" s="52">
        <v>6.0</v>
      </c>
      <c r="C155" s="10" t="s">
        <v>219</v>
      </c>
      <c r="D155" s="10" t="s">
        <v>171</v>
      </c>
      <c r="E155" s="49">
        <v>228.0</v>
      </c>
      <c r="F155" s="27">
        <v>11.5292</v>
      </c>
      <c r="G155" s="27">
        <v>18.019</v>
      </c>
      <c r="H155" s="27">
        <v>24.5044</v>
      </c>
      <c r="I155" s="27">
        <v>46.1199</v>
      </c>
      <c r="J155" s="51">
        <v>125.0</v>
      </c>
      <c r="K155" s="53" t="str">
        <f t="shared" si="10"/>
        <v>No</v>
      </c>
      <c r="L155" s="5"/>
    </row>
    <row r="156" ht="15.75" customHeight="1">
      <c r="B156" s="52">
        <v>7.0</v>
      </c>
      <c r="C156" s="10" t="s">
        <v>220</v>
      </c>
      <c r="D156" s="10" t="s">
        <v>179</v>
      </c>
      <c r="E156" s="49">
        <v>61.0</v>
      </c>
      <c r="F156" s="27">
        <v>15.7923</v>
      </c>
      <c r="G156" s="27">
        <v>13.6995</v>
      </c>
      <c r="H156" s="27">
        <v>23.612</v>
      </c>
      <c r="I156" s="27">
        <v>41.5301</v>
      </c>
      <c r="J156" s="51">
        <v>25.0</v>
      </c>
      <c r="K156" s="53" t="str">
        <f t="shared" si="10"/>
        <v>Yes</v>
      </c>
      <c r="L156" s="5"/>
    </row>
    <row r="157" ht="15.75" customHeight="1">
      <c r="B157" s="52">
        <v>8.0</v>
      </c>
      <c r="C157" s="10" t="s">
        <v>221</v>
      </c>
      <c r="D157" s="10" t="s">
        <v>179</v>
      </c>
      <c r="E157" s="49">
        <v>45.0</v>
      </c>
      <c r="F157" s="27">
        <v>5.7481</v>
      </c>
      <c r="G157" s="27">
        <v>4.0074</v>
      </c>
      <c r="H157" s="27">
        <v>24.6593</v>
      </c>
      <c r="I157" s="27">
        <v>41.6</v>
      </c>
      <c r="J157" s="51">
        <v>125.0</v>
      </c>
      <c r="K157" s="53" t="str">
        <f t="shared" si="10"/>
        <v>No</v>
      </c>
      <c r="L157" s="5"/>
    </row>
    <row r="158" ht="15.75" customHeight="1">
      <c r="B158" s="52">
        <v>9.0</v>
      </c>
      <c r="C158" s="10" t="s">
        <v>222</v>
      </c>
      <c r="D158" s="10" t="s">
        <v>166</v>
      </c>
      <c r="E158" s="49">
        <v>11.0</v>
      </c>
      <c r="F158" s="27"/>
      <c r="G158" s="27"/>
      <c r="H158" s="27"/>
      <c r="I158" s="27"/>
      <c r="J158" s="51"/>
      <c r="K158" s="53" t="str">
        <f t="shared" si="10"/>
        <v>–</v>
      </c>
      <c r="L158" s="5" t="s">
        <v>223</v>
      </c>
    </row>
    <row r="159" ht="15.75" customHeight="1">
      <c r="B159" s="52">
        <v>10.0</v>
      </c>
      <c r="C159" s="10" t="s">
        <v>224</v>
      </c>
      <c r="D159" s="10" t="s">
        <v>166</v>
      </c>
      <c r="E159" s="49">
        <v>54.0</v>
      </c>
      <c r="F159" s="27">
        <v>6.5494</v>
      </c>
      <c r="G159" s="27">
        <v>17.7531</v>
      </c>
      <c r="H159" s="27">
        <v>25.4691</v>
      </c>
      <c r="I159" s="27">
        <v>46.2901</v>
      </c>
      <c r="J159" s="51">
        <v>100.0</v>
      </c>
      <c r="K159" s="53" t="str">
        <f t="shared" si="10"/>
        <v>No</v>
      </c>
      <c r="L159" s="5"/>
    </row>
    <row r="160" ht="15.75" customHeight="1">
      <c r="B160" s="52">
        <v>11.0</v>
      </c>
      <c r="C160" s="10" t="s">
        <v>225</v>
      </c>
      <c r="D160" s="10" t="s">
        <v>174</v>
      </c>
      <c r="E160" s="49">
        <v>134.0</v>
      </c>
      <c r="F160" s="27">
        <v>16.4577</v>
      </c>
      <c r="G160" s="27">
        <v>22.8781</v>
      </c>
      <c r="H160" s="27">
        <v>27.3408</v>
      </c>
      <c r="I160" s="27">
        <v>55.1045</v>
      </c>
      <c r="J160" s="51">
        <v>50.0</v>
      </c>
      <c r="K160" s="53" t="str">
        <f t="shared" si="10"/>
        <v>Yes</v>
      </c>
      <c r="L160" s="5"/>
    </row>
    <row r="161" ht="15.75" customHeight="1">
      <c r="B161" s="52">
        <v>12.0</v>
      </c>
      <c r="C161" s="10" t="s">
        <v>226</v>
      </c>
      <c r="D161" s="10" t="s">
        <v>166</v>
      </c>
      <c r="E161" s="49">
        <v>26.0</v>
      </c>
      <c r="F161" s="27">
        <v>5.0513</v>
      </c>
      <c r="G161" s="27">
        <v>14.4872</v>
      </c>
      <c r="H161" s="27">
        <v>19.3333</v>
      </c>
      <c r="I161" s="27">
        <v>53.9744</v>
      </c>
      <c r="J161" s="51">
        <v>50.0</v>
      </c>
      <c r="K161" s="53" t="str">
        <f t="shared" si="10"/>
        <v>Yes</v>
      </c>
      <c r="L161" s="5"/>
    </row>
    <row r="162" ht="15.75" customHeight="1">
      <c r="B162" s="52">
        <v>13.0</v>
      </c>
      <c r="C162" s="10" t="s">
        <v>227</v>
      </c>
      <c r="D162" s="10" t="s">
        <v>228</v>
      </c>
      <c r="E162" s="49">
        <v>34.0</v>
      </c>
      <c r="F162" s="27">
        <v>-3.2843</v>
      </c>
      <c r="G162" s="27">
        <v>-1.2647</v>
      </c>
      <c r="H162" s="27">
        <v>-2.9902</v>
      </c>
      <c r="I162" s="27">
        <v>4.8235</v>
      </c>
      <c r="J162" s="51">
        <v>10.0</v>
      </c>
      <c r="K162" s="53" t="str">
        <f t="shared" si="10"/>
        <v>Yes</v>
      </c>
      <c r="L162" s="5"/>
    </row>
    <row r="163" ht="15.75" customHeight="1">
      <c r="B163" s="52">
        <v>14.0</v>
      </c>
      <c r="C163" s="10" t="s">
        <v>229</v>
      </c>
      <c r="D163" s="10" t="s">
        <v>171</v>
      </c>
      <c r="E163" s="49">
        <v>76.0</v>
      </c>
      <c r="F163" s="27">
        <v>15.7588</v>
      </c>
      <c r="G163" s="27">
        <v>29.5658</v>
      </c>
      <c r="H163" s="27">
        <v>33.0</v>
      </c>
      <c r="I163" s="27">
        <v>48.0</v>
      </c>
      <c r="J163" s="51">
        <v>50.0</v>
      </c>
      <c r="K163" s="53" t="str">
        <f t="shared" si="10"/>
        <v>Yes</v>
      </c>
      <c r="L163" s="5"/>
    </row>
    <row r="164" ht="15.75" customHeight="1">
      <c r="B164" s="52">
        <v>15.0</v>
      </c>
      <c r="C164" s="10" t="s">
        <v>230</v>
      </c>
      <c r="D164" s="10" t="s">
        <v>166</v>
      </c>
      <c r="E164" s="49">
        <v>73.0</v>
      </c>
      <c r="F164" s="27">
        <v>11.8219</v>
      </c>
      <c r="G164" s="27">
        <v>15.758</v>
      </c>
      <c r="H164" s="27">
        <v>19.7671</v>
      </c>
      <c r="I164" s="27">
        <v>37.5251</v>
      </c>
      <c r="J164" s="51">
        <v>75.0</v>
      </c>
      <c r="K164" s="53" t="str">
        <f t="shared" si="10"/>
        <v>No</v>
      </c>
      <c r="L164" s="5"/>
    </row>
    <row r="165" ht="15.75" customHeight="1">
      <c r="B165" s="52">
        <v>16.0</v>
      </c>
      <c r="C165" s="10" t="s">
        <v>231</v>
      </c>
      <c r="D165" s="10" t="s">
        <v>171</v>
      </c>
      <c r="E165" s="49">
        <v>73.0</v>
      </c>
      <c r="F165" s="27">
        <v>19.0868</v>
      </c>
      <c r="G165" s="27">
        <v>23.2466</v>
      </c>
      <c r="H165" s="27">
        <v>30.9817</v>
      </c>
      <c r="I165" s="27">
        <v>48.4064</v>
      </c>
      <c r="J165" s="51">
        <v>100.0</v>
      </c>
      <c r="K165" s="53" t="str">
        <f t="shared" si="10"/>
        <v>No</v>
      </c>
      <c r="L165" s="5"/>
    </row>
    <row r="166" ht="15.75" customHeight="1">
      <c r="B166" s="52">
        <v>17.0</v>
      </c>
      <c r="C166" s="10" t="s">
        <v>232</v>
      </c>
      <c r="D166" s="10" t="s">
        <v>175</v>
      </c>
      <c r="E166" s="49">
        <v>4.0</v>
      </c>
      <c r="F166" s="27"/>
      <c r="G166" s="27"/>
      <c r="H166" s="27"/>
      <c r="I166" s="27"/>
      <c r="J166" s="51"/>
      <c r="K166" s="53" t="str">
        <f t="shared" si="10"/>
        <v>–</v>
      </c>
      <c r="L166" s="5" t="s">
        <v>223</v>
      </c>
    </row>
    <row r="167" ht="15.75" customHeight="1">
      <c r="B167" s="52">
        <v>18.0</v>
      </c>
      <c r="C167" s="10" t="s">
        <v>233</v>
      </c>
      <c r="D167" s="10" t="s">
        <v>171</v>
      </c>
      <c r="E167" s="49">
        <v>76.0</v>
      </c>
      <c r="F167" s="27">
        <v>22.5526</v>
      </c>
      <c r="G167" s="27">
        <v>24.3421</v>
      </c>
      <c r="H167" s="27">
        <v>34.1272</v>
      </c>
      <c r="I167" s="27">
        <v>61.5482</v>
      </c>
      <c r="J167" s="51">
        <v>125.0</v>
      </c>
      <c r="K167" s="53" t="str">
        <f t="shared" si="10"/>
        <v>No</v>
      </c>
      <c r="L167" s="5"/>
    </row>
    <row r="168" ht="15.75" customHeight="1">
      <c r="B168" s="52">
        <v>19.0</v>
      </c>
      <c r="C168" s="10" t="s">
        <v>234</v>
      </c>
      <c r="D168" s="10" t="s">
        <v>174</v>
      </c>
      <c r="E168" s="49">
        <v>52.0</v>
      </c>
      <c r="F168" s="27">
        <v>16.6346</v>
      </c>
      <c r="G168" s="27">
        <v>27.5192</v>
      </c>
      <c r="H168" s="27">
        <v>29.5385</v>
      </c>
      <c r="I168" s="27">
        <v>49.0513</v>
      </c>
      <c r="J168" s="51">
        <v>50.0</v>
      </c>
      <c r="K168" s="53" t="str">
        <f t="shared" si="10"/>
        <v>Yes</v>
      </c>
      <c r="L168" s="5"/>
    </row>
    <row r="169" ht="15.75" customHeight="1">
      <c r="B169" s="52">
        <v>20.0</v>
      </c>
      <c r="C169" s="10" t="s">
        <v>235</v>
      </c>
      <c r="D169" s="10" t="s">
        <v>236</v>
      </c>
      <c r="E169" s="49">
        <v>29.0</v>
      </c>
      <c r="F169" s="27">
        <v>12.5402</v>
      </c>
      <c r="G169" s="27">
        <v>30.8161</v>
      </c>
      <c r="H169" s="27">
        <v>37.3448</v>
      </c>
      <c r="I169" s="27">
        <v>45.6667</v>
      </c>
      <c r="J169" s="51">
        <v>50.0</v>
      </c>
      <c r="K169" s="53" t="str">
        <f t="shared" si="10"/>
        <v>Yes</v>
      </c>
      <c r="L169" s="5"/>
    </row>
    <row r="170" ht="15.75" customHeight="1">
      <c r="B170" s="14" t="s">
        <v>237</v>
      </c>
      <c r="J170" s="54">
        <f>COUNT(J150:J169)</f>
        <v>18</v>
      </c>
    </row>
    <row r="171" ht="15.75" customHeight="1">
      <c r="B171" s="14" t="s">
        <v>238</v>
      </c>
      <c r="I171" s="50">
        <f>AVERAGE(J150:J169)</f>
        <v>67.22222222</v>
      </c>
      <c r="J171" s="38">
        <f>MEDIAN(J150:J169)</f>
        <v>50</v>
      </c>
    </row>
    <row r="172" ht="15.75" customHeight="1">
      <c r="B172" s="14" t="s">
        <v>239</v>
      </c>
      <c r="J172" s="50">
        <f>SUMPRODUCT(E150:E169,J150:J169)/SUMIF(J150:J169,"&lt;&gt;",E150:E169)</f>
        <v>69.609375</v>
      </c>
    </row>
    <row r="173" ht="15.75" customHeight="1">
      <c r="B173" s="14" t="s">
        <v>240</v>
      </c>
      <c r="J173" s="41">
        <f>ROUND(J172,0)</f>
        <v>70</v>
      </c>
    </row>
    <row r="174" ht="15.75" customHeight="1">
      <c r="B174" s="14" t="s">
        <v>241</v>
      </c>
      <c r="J174" s="16" t="str">
        <f>COUNTIF(K150:K169,"Yes")&amp;" of "&amp;COUNT(J150:J169)</f>
        <v>10 of 18</v>
      </c>
    </row>
    <row r="175" ht="15.75" customHeight="1"/>
    <row r="176" ht="15.75" customHeight="1">
      <c r="B176" s="39" t="s">
        <v>242</v>
      </c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</row>
    <row r="177" ht="42.0" customHeight="1">
      <c r="B177" s="6" t="s">
        <v>209</v>
      </c>
      <c r="C177" s="6" t="s">
        <v>161</v>
      </c>
      <c r="D177" s="6" t="s">
        <v>151</v>
      </c>
      <c r="E177" s="6" t="s">
        <v>243</v>
      </c>
      <c r="F177" s="6" t="s">
        <v>211</v>
      </c>
      <c r="G177" s="6" t="s">
        <v>162</v>
      </c>
      <c r="H177" s="6" t="s">
        <v>163</v>
      </c>
      <c r="I177" s="6" t="s">
        <v>164</v>
      </c>
      <c r="J177" s="6" t="s">
        <v>244</v>
      </c>
      <c r="K177" s="6" t="s">
        <v>245</v>
      </c>
      <c r="L177" s="6" t="s">
        <v>246</v>
      </c>
      <c r="M177" s="6" t="s">
        <v>247</v>
      </c>
    </row>
    <row r="178" ht="15.75" customHeight="1">
      <c r="B178" s="52">
        <v>1.0</v>
      </c>
      <c r="C178" s="10" t="s">
        <v>169</v>
      </c>
      <c r="D178" s="49">
        <v>456.0</v>
      </c>
      <c r="E178" s="55">
        <v>65.375</v>
      </c>
      <c r="F178" s="27">
        <v>16.957</v>
      </c>
      <c r="G178" s="27">
        <v>31.248</v>
      </c>
      <c r="H178" s="27">
        <v>46.132</v>
      </c>
      <c r="I178" s="27">
        <v>74.08</v>
      </c>
      <c r="J178" s="26">
        <f t="shared" ref="J178:J182" si="11">1-EXP(-$C$49/E178)</f>
        <v>0.657247168</v>
      </c>
      <c r="K178" s="26">
        <f t="shared" ref="K178:K182" si="12">1-EXP(-100/E178)</f>
        <v>0.7833856534</v>
      </c>
      <c r="L178" s="27">
        <v>11.019</v>
      </c>
      <c r="M178" s="27">
        <v>2.781</v>
      </c>
    </row>
    <row r="179" ht="15.75" customHeight="1">
      <c r="B179" s="52">
        <v>2.0</v>
      </c>
      <c r="C179" s="10" t="s">
        <v>176</v>
      </c>
      <c r="D179" s="49">
        <v>425.0</v>
      </c>
      <c r="E179" s="55">
        <v>77.064</v>
      </c>
      <c r="F179" s="27">
        <v>24.162</v>
      </c>
      <c r="G179" s="27">
        <v>30.301</v>
      </c>
      <c r="H179" s="27">
        <v>42.352</v>
      </c>
      <c r="I179" s="27">
        <v>68.666</v>
      </c>
      <c r="J179" s="26">
        <f t="shared" si="11"/>
        <v>0.5968053893</v>
      </c>
      <c r="K179" s="26">
        <f t="shared" si="12"/>
        <v>0.7268195615</v>
      </c>
      <c r="L179" s="27">
        <v>7.596</v>
      </c>
      <c r="M179" s="27">
        <v>2.363</v>
      </c>
    </row>
    <row r="180" ht="15.75" customHeight="1">
      <c r="B180" s="52">
        <v>3.0</v>
      </c>
      <c r="C180" s="10" t="s">
        <v>179</v>
      </c>
      <c r="D180" s="49">
        <v>352.0</v>
      </c>
      <c r="E180" s="55">
        <v>78.403</v>
      </c>
      <c r="F180" s="27">
        <v>8.344</v>
      </c>
      <c r="G180" s="27">
        <v>21.41</v>
      </c>
      <c r="H180" s="27">
        <v>32.884</v>
      </c>
      <c r="I180" s="27">
        <v>64.554</v>
      </c>
      <c r="J180" s="26">
        <f t="shared" si="11"/>
        <v>0.5905018849</v>
      </c>
      <c r="K180" s="26">
        <f t="shared" si="12"/>
        <v>0.720697931</v>
      </c>
      <c r="L180" s="27">
        <v>8.541</v>
      </c>
      <c r="M180" s="27">
        <v>2.71</v>
      </c>
    </row>
    <row r="181" ht="15.75" customHeight="1">
      <c r="B181" s="52">
        <v>4.0</v>
      </c>
      <c r="C181" s="10" t="s">
        <v>174</v>
      </c>
      <c r="D181" s="49">
        <v>313.0</v>
      </c>
      <c r="E181" s="55">
        <v>97.058</v>
      </c>
      <c r="F181" s="27">
        <v>6.445</v>
      </c>
      <c r="G181" s="27">
        <v>15.508</v>
      </c>
      <c r="H181" s="27">
        <v>32.481</v>
      </c>
      <c r="I181" s="27">
        <v>63.247</v>
      </c>
      <c r="J181" s="26">
        <f t="shared" si="11"/>
        <v>0.5138403644</v>
      </c>
      <c r="K181" s="26">
        <f t="shared" si="12"/>
        <v>0.643104327</v>
      </c>
      <c r="L181" s="27">
        <v>7.206</v>
      </c>
      <c r="M181" s="27">
        <v>2.851</v>
      </c>
    </row>
    <row r="182" ht="15.75" customHeight="1">
      <c r="B182" s="52">
        <v>5.0</v>
      </c>
      <c r="C182" s="10" t="s">
        <v>179</v>
      </c>
      <c r="D182" s="49">
        <v>308.0</v>
      </c>
      <c r="E182" s="55">
        <v>83.785</v>
      </c>
      <c r="F182" s="27">
        <v>5.288</v>
      </c>
      <c r="G182" s="27">
        <v>17.009</v>
      </c>
      <c r="H182" s="27">
        <v>36.213</v>
      </c>
      <c r="I182" s="27">
        <v>68.631</v>
      </c>
      <c r="J182" s="26">
        <f t="shared" si="11"/>
        <v>0.5663301476</v>
      </c>
      <c r="K182" s="26">
        <f t="shared" si="12"/>
        <v>0.6968510656</v>
      </c>
      <c r="L182" s="27">
        <v>9.484</v>
      </c>
      <c r="M182" s="27">
        <v>3.239</v>
      </c>
    </row>
    <row r="183" ht="15.75" customHeight="1">
      <c r="B183" s="14" t="s">
        <v>248</v>
      </c>
      <c r="J183" s="37">
        <f>AVERAGE(J178:J182)</f>
        <v>0.5849449908</v>
      </c>
    </row>
    <row r="184" ht="15.75" customHeight="1"/>
    <row r="185" ht="15.75" customHeight="1"/>
    <row r="186" ht="21.75" customHeight="1">
      <c r="B186" s="3" t="s">
        <v>249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B187" s="5" t="s">
        <v>250</v>
      </c>
    </row>
    <row r="188" ht="15.75" customHeight="1"/>
    <row r="189" ht="15.75" customHeight="1">
      <c r="B189" s="39" t="s">
        <v>251</v>
      </c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</row>
    <row r="190" ht="33.75" customHeight="1">
      <c r="B190" s="6" t="s">
        <v>114</v>
      </c>
      <c r="C190" s="6" t="s">
        <v>137</v>
      </c>
      <c r="D190" s="6" t="s">
        <v>118</v>
      </c>
      <c r="E190" s="6" t="s">
        <v>119</v>
      </c>
      <c r="F190" s="6" t="s">
        <v>138</v>
      </c>
      <c r="G190" s="6" t="s">
        <v>139</v>
      </c>
      <c r="H190" s="6" t="s">
        <v>140</v>
      </c>
      <c r="I190" s="6" t="s">
        <v>141</v>
      </c>
    </row>
    <row r="191" ht="15.75" customHeight="1">
      <c r="B191" s="36">
        <v>10.0</v>
      </c>
      <c r="C191" s="27">
        <v>1.9465</v>
      </c>
      <c r="D191" s="32">
        <v>0.1076</v>
      </c>
      <c r="E191" s="32">
        <v>0.416</v>
      </c>
      <c r="F191" s="27"/>
      <c r="G191" s="27"/>
      <c r="H191" s="27"/>
      <c r="I191" s="30">
        <f t="shared" ref="I191:I202" si="13">IF(B191&lt;=300,(C191-MIN($C$191:$C$202))/(SUMPRODUCT(MAX(($B$191:$B$202&lt;=300)*$C$191:$C$202))-MIN($C$191:$C$202))-(B191-MIN($B$191:$B$202))/(300-MIN($B$191:$B$202)),"")</f>
        <v>0</v>
      </c>
    </row>
    <row r="192" ht="15.75" customHeight="1">
      <c r="B192" s="36">
        <v>25.0</v>
      </c>
      <c r="C192" s="27">
        <v>9.912</v>
      </c>
      <c r="D192" s="32">
        <v>0.3187</v>
      </c>
      <c r="E192" s="32">
        <v>0.5188</v>
      </c>
      <c r="F192" s="27">
        <v>5.3103</v>
      </c>
      <c r="G192" s="27">
        <v>4.2559</v>
      </c>
      <c r="H192" s="27">
        <v>6.4174</v>
      </c>
      <c r="I192" s="30">
        <f t="shared" si="13"/>
        <v>0.4941272408</v>
      </c>
    </row>
    <row r="193" ht="15.75" customHeight="1">
      <c r="B193" s="36">
        <v>50.0</v>
      </c>
      <c r="C193" s="27">
        <v>13.3455</v>
      </c>
      <c r="D193" s="32">
        <v>0.3955</v>
      </c>
      <c r="E193" s="32">
        <v>0.5389</v>
      </c>
      <c r="F193" s="27">
        <v>1.3734</v>
      </c>
      <c r="G193" s="27">
        <v>1.0413</v>
      </c>
      <c r="H193" s="27">
        <v>1.6834</v>
      </c>
      <c r="I193" s="30">
        <f t="shared" si="13"/>
        <v>0.6432076092</v>
      </c>
    </row>
    <row r="194" ht="15.75" customHeight="1">
      <c r="B194" s="36">
        <v>75.0</v>
      </c>
      <c r="C194" s="27">
        <v>13.4963</v>
      </c>
      <c r="D194" s="32">
        <v>0.4396</v>
      </c>
      <c r="E194" s="32">
        <v>0.5145</v>
      </c>
      <c r="F194" s="27">
        <v>0.0603</v>
      </c>
      <c r="G194" s="27">
        <v>-0.0918</v>
      </c>
      <c r="H194" s="27">
        <v>0.2166</v>
      </c>
      <c r="I194" s="30">
        <f t="shared" si="13"/>
        <v>0.567334576</v>
      </c>
    </row>
    <row r="195" ht="15.75" customHeight="1">
      <c r="B195" s="36">
        <v>100.0</v>
      </c>
      <c r="C195" s="27">
        <v>14.3019</v>
      </c>
      <c r="D195" s="32">
        <v>0.4772</v>
      </c>
      <c r="E195" s="32">
        <v>0.5083</v>
      </c>
      <c r="F195" s="27">
        <v>0.3222</v>
      </c>
      <c r="G195" s="27">
        <v>0.1664</v>
      </c>
      <c r="H195" s="27">
        <v>0.4903</v>
      </c>
      <c r="I195" s="30">
        <f t="shared" si="13"/>
        <v>0.5363329861</v>
      </c>
    </row>
    <row r="196" ht="15.75" customHeight="1">
      <c r="B196" s="36">
        <v>125.0</v>
      </c>
      <c r="C196" s="27">
        <v>14.6147</v>
      </c>
      <c r="D196" s="32">
        <v>0.498</v>
      </c>
      <c r="E196" s="32">
        <v>0.5034</v>
      </c>
      <c r="F196" s="27">
        <v>0.1251</v>
      </c>
      <c r="G196" s="27">
        <v>0.0197</v>
      </c>
      <c r="H196" s="27">
        <v>0.2425</v>
      </c>
      <c r="I196" s="30">
        <f t="shared" si="13"/>
        <v>0.4715613179</v>
      </c>
    </row>
    <row r="197" ht="15.75" customHeight="1">
      <c r="B197" s="36">
        <v>150.0</v>
      </c>
      <c r="C197" s="27">
        <v>14.9</v>
      </c>
      <c r="D197" s="32">
        <v>0.5109</v>
      </c>
      <c r="E197" s="32">
        <v>0.5018</v>
      </c>
      <c r="F197" s="27">
        <v>0.1141</v>
      </c>
      <c r="G197" s="27">
        <v>0.0223</v>
      </c>
      <c r="H197" s="27">
        <v>0.2077</v>
      </c>
      <c r="I197" s="30">
        <f t="shared" si="13"/>
        <v>0.4049051587</v>
      </c>
    </row>
    <row r="198" ht="15.75" customHeight="1">
      <c r="B198" s="36">
        <v>200.0</v>
      </c>
      <c r="C198" s="27">
        <v>15.1871</v>
      </c>
      <c r="D198" s="32">
        <v>0.5294</v>
      </c>
      <c r="E198" s="32">
        <v>0.4981</v>
      </c>
      <c r="F198" s="27">
        <v>0.0574</v>
      </c>
      <c r="G198" s="27">
        <v>0.0113</v>
      </c>
      <c r="H198" s="27">
        <v>0.1102</v>
      </c>
      <c r="I198" s="30">
        <f t="shared" si="13"/>
        <v>0.2521654515</v>
      </c>
    </row>
    <row r="199" ht="15.75" customHeight="1">
      <c r="B199" s="36">
        <v>250.0</v>
      </c>
      <c r="C199" s="27">
        <v>15.6621</v>
      </c>
      <c r="D199" s="32">
        <v>0.5446</v>
      </c>
      <c r="E199" s="32">
        <v>0.4986</v>
      </c>
      <c r="F199" s="27">
        <v>0.095</v>
      </c>
      <c r="G199" s="27">
        <v>0.0248</v>
      </c>
      <c r="H199" s="27">
        <v>0.1691</v>
      </c>
      <c r="I199" s="30">
        <f t="shared" si="13"/>
        <v>0.1123019571</v>
      </c>
    </row>
    <row r="200" ht="15.75" customHeight="1">
      <c r="B200" s="36">
        <v>300.0</v>
      </c>
      <c r="C200" s="27">
        <v>16.5393</v>
      </c>
      <c r="D200" s="32">
        <v>0.5625</v>
      </c>
      <c r="E200" s="32">
        <v>0.5037</v>
      </c>
      <c r="F200" s="27">
        <v>0.1755</v>
      </c>
      <c r="G200" s="27">
        <v>0.1007</v>
      </c>
      <c r="H200" s="27">
        <v>0.258</v>
      </c>
      <c r="I200" s="30">
        <f t="shared" si="13"/>
        <v>0</v>
      </c>
    </row>
    <row r="201" ht="15.75" customHeight="1">
      <c r="B201" s="36">
        <v>400.0</v>
      </c>
      <c r="C201" s="27">
        <v>19.7644</v>
      </c>
      <c r="D201" s="32">
        <v>0.6217</v>
      </c>
      <c r="E201" s="32">
        <v>0.5218</v>
      </c>
      <c r="F201" s="27">
        <v>0.3225</v>
      </c>
      <c r="G201" s="27">
        <v>0.2538</v>
      </c>
      <c r="H201" s="27">
        <v>0.3959</v>
      </c>
      <c r="I201" s="30" t="str">
        <f t="shared" si="13"/>
        <v/>
      </c>
    </row>
    <row r="202" ht="15.75" customHeight="1">
      <c r="B202" s="36">
        <v>500.0</v>
      </c>
      <c r="C202" s="27">
        <v>21.527</v>
      </c>
      <c r="D202" s="32">
        <v>0.6451</v>
      </c>
      <c r="E202" s="32">
        <v>0.5337</v>
      </c>
      <c r="F202" s="27">
        <v>0.1763</v>
      </c>
      <c r="G202" s="27">
        <v>0.1286</v>
      </c>
      <c r="H202" s="27">
        <v>0.2238</v>
      </c>
      <c r="I202" s="30" t="str">
        <f t="shared" si="13"/>
        <v/>
      </c>
    </row>
    <row r="203" ht="15.75" customHeight="1">
      <c r="B203" s="14" t="s">
        <v>206</v>
      </c>
      <c r="C203" s="38">
        <f t="array" ref="C203">INDEX($B$191:$B$202,MATCH(MAX($I$191:$I$202),$I$191:$I$202,0))</f>
        <v>50</v>
      </c>
    </row>
    <row r="204" ht="15.75" customHeight="1"/>
    <row r="205" ht="15.75" customHeight="1">
      <c r="B205" s="39" t="s">
        <v>252</v>
      </c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</row>
    <row r="206" ht="30.0" customHeight="1">
      <c r="B206" s="6" t="s">
        <v>253</v>
      </c>
      <c r="C206" s="6" t="s">
        <v>254</v>
      </c>
      <c r="D206" s="6" t="s">
        <v>255</v>
      </c>
      <c r="E206" s="6" t="s">
        <v>151</v>
      </c>
      <c r="F206" s="6" t="s">
        <v>256</v>
      </c>
      <c r="G206" s="6" t="s">
        <v>257</v>
      </c>
    </row>
    <row r="207" ht="15.75" customHeight="1">
      <c r="B207" s="36">
        <v>0.0</v>
      </c>
      <c r="C207" s="36">
        <v>25.0</v>
      </c>
      <c r="D207" s="54">
        <f>COUNTIFS($E$376:$E$584,"&gt;="&amp;B207,$E$376:$E$584,"&lt;="&amp;C207)</f>
        <v>42</v>
      </c>
      <c r="E207" s="54">
        <f>SUMIFS($D$376:$D$584,$E$376:$E$584,"&gt;="&amp;B207,$E$376:$E$584,"&lt;="&amp;C207)</f>
        <v>633</v>
      </c>
      <c r="F207" s="26">
        <f t="shared" ref="F207:F212" si="14">E207/SUM($E$207:$E$212)</f>
        <v>0.1542021924</v>
      </c>
      <c r="G207" s="26">
        <f t="shared" ref="G207:G212" si="15">SUM($F$207:F207)</f>
        <v>0.1542021924</v>
      </c>
    </row>
    <row r="208" ht="15.75" customHeight="1">
      <c r="B208" s="36">
        <v>25.0</v>
      </c>
      <c r="C208" s="36">
        <v>50.0</v>
      </c>
      <c r="D208" s="54">
        <f t="shared" ref="D208:D212" si="16">COUNTIFS($E$376:$E$584,"&gt;"&amp;B208,$E$376:$E$584,"&lt;="&amp;C208)</f>
        <v>119</v>
      </c>
      <c r="E208" s="54">
        <f t="shared" ref="E208:E212" si="17">SUMIFS($D$376:$D$584,$E$376:$E$584,"&gt;"&amp;B208,$E$376:$E$584,"&lt;="&amp;C208)</f>
        <v>2769</v>
      </c>
      <c r="F208" s="26">
        <f t="shared" si="14"/>
        <v>0.67454324</v>
      </c>
      <c r="G208" s="26">
        <f t="shared" si="15"/>
        <v>0.8287454324</v>
      </c>
    </row>
    <row r="209" ht="15.75" customHeight="1">
      <c r="B209" s="36">
        <v>50.0</v>
      </c>
      <c r="C209" s="36">
        <v>75.0</v>
      </c>
      <c r="D209" s="54">
        <f t="shared" si="16"/>
        <v>26</v>
      </c>
      <c r="E209" s="54">
        <f t="shared" si="17"/>
        <v>393</v>
      </c>
      <c r="F209" s="26">
        <f t="shared" si="14"/>
        <v>0.09573690621</v>
      </c>
      <c r="G209" s="26">
        <f t="shared" si="15"/>
        <v>0.9244823386</v>
      </c>
    </row>
    <row r="210" ht="15.75" customHeight="1">
      <c r="B210" s="36">
        <v>75.0</v>
      </c>
      <c r="C210" s="36">
        <v>100.0</v>
      </c>
      <c r="D210" s="54">
        <f t="shared" si="16"/>
        <v>14</v>
      </c>
      <c r="E210" s="54">
        <f t="shared" si="17"/>
        <v>203</v>
      </c>
      <c r="F210" s="26">
        <f t="shared" si="14"/>
        <v>0.04945188794</v>
      </c>
      <c r="G210" s="26">
        <f t="shared" si="15"/>
        <v>0.9739342266</v>
      </c>
    </row>
    <row r="211" ht="15.75" customHeight="1">
      <c r="B211" s="36">
        <v>100.0</v>
      </c>
      <c r="C211" s="36">
        <v>150.0</v>
      </c>
      <c r="D211" s="54">
        <f t="shared" si="16"/>
        <v>8</v>
      </c>
      <c r="E211" s="54">
        <f t="shared" si="17"/>
        <v>107</v>
      </c>
      <c r="F211" s="26">
        <f t="shared" si="14"/>
        <v>0.02606577345</v>
      </c>
      <c r="G211" s="26">
        <f t="shared" si="15"/>
        <v>1</v>
      </c>
    </row>
    <row r="212" ht="15.75" customHeight="1">
      <c r="B212" s="36">
        <v>150.0</v>
      </c>
      <c r="C212" s="36">
        <v>1000.0</v>
      </c>
      <c r="D212" s="54">
        <f t="shared" si="16"/>
        <v>0</v>
      </c>
      <c r="E212" s="54">
        <f t="shared" si="17"/>
        <v>0</v>
      </c>
      <c r="F212" s="26">
        <f t="shared" si="14"/>
        <v>0</v>
      </c>
      <c r="G212" s="26">
        <f t="shared" si="15"/>
        <v>1</v>
      </c>
    </row>
    <row r="213" ht="15.75" customHeight="1">
      <c r="B213" s="14" t="s">
        <v>258</v>
      </c>
      <c r="D213" s="54">
        <f>COUNT(E376:E584)</f>
        <v>209</v>
      </c>
      <c r="E213" s="54">
        <f>SUM(D376:D584)</f>
        <v>4105</v>
      </c>
      <c r="F213" s="50">
        <f>AVERAGE(E376:E584)</f>
        <v>46.93779904</v>
      </c>
      <c r="G213" s="38">
        <f>MEDIAN(E376:E584)</f>
        <v>40</v>
      </c>
    </row>
    <row r="214" ht="15.75" customHeight="1">
      <c r="B214" s="14" t="s">
        <v>259</v>
      </c>
      <c r="G214" s="26">
        <f>SUMIFS(D376:D584,E376:E584,"&lt;=75")/SUM(D376:D584)</f>
        <v>0.9244823386</v>
      </c>
    </row>
    <row r="215" ht="15.75" customHeight="1">
      <c r="B215" s="14" t="s">
        <v>260</v>
      </c>
      <c r="G215" s="50">
        <f>SUMPRODUCT(D376:D584,E376:E584)/SUM(D376:D584)</f>
        <v>44.7454324</v>
      </c>
    </row>
    <row r="216" ht="15.75" customHeight="1">
      <c r="B216" s="14" t="s">
        <v>261</v>
      </c>
      <c r="G216" s="41">
        <f>ROUND(G215,0)</f>
        <v>45</v>
      </c>
    </row>
    <row r="217" ht="15.75" customHeight="1">
      <c r="B217" s="39" t="s">
        <v>262</v>
      </c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</row>
    <row r="218" ht="21.75" customHeight="1">
      <c r="B218" s="6" t="s">
        <v>161</v>
      </c>
      <c r="C218" s="6" t="s">
        <v>255</v>
      </c>
      <c r="D218" s="6" t="s">
        <v>151</v>
      </c>
      <c r="E218" s="6" t="s">
        <v>263</v>
      </c>
      <c r="F218" s="6" t="s">
        <v>264</v>
      </c>
    </row>
    <row r="219" ht="15.75" customHeight="1">
      <c r="B219" s="10" t="s">
        <v>166</v>
      </c>
      <c r="C219" s="49">
        <v>25.0</v>
      </c>
      <c r="D219" s="49">
        <v>627.0</v>
      </c>
      <c r="E219" s="51">
        <v>40.0</v>
      </c>
      <c r="F219" s="56">
        <v>43.4</v>
      </c>
    </row>
    <row r="220" ht="15.75" customHeight="1">
      <c r="B220" s="10" t="s">
        <v>169</v>
      </c>
      <c r="C220" s="49">
        <v>24.0</v>
      </c>
      <c r="D220" s="49">
        <v>483.0</v>
      </c>
      <c r="E220" s="51">
        <v>40.0</v>
      </c>
      <c r="F220" s="56">
        <v>41.88</v>
      </c>
    </row>
    <row r="221" ht="15.75" customHeight="1">
      <c r="B221" s="10" t="s">
        <v>171</v>
      </c>
      <c r="C221" s="49">
        <v>19.0</v>
      </c>
      <c r="D221" s="49">
        <v>432.0</v>
      </c>
      <c r="E221" s="51">
        <v>40.0</v>
      </c>
      <c r="F221" s="56">
        <v>50.79</v>
      </c>
    </row>
    <row r="222" ht="15.75" customHeight="1">
      <c r="B222" s="10" t="s">
        <v>174</v>
      </c>
      <c r="C222" s="49">
        <v>19.0</v>
      </c>
      <c r="D222" s="49">
        <v>370.0</v>
      </c>
      <c r="E222" s="51">
        <v>40.0</v>
      </c>
      <c r="F222" s="56">
        <v>52.37</v>
      </c>
    </row>
    <row r="223" ht="15.75" customHeight="1">
      <c r="B223" s="10" t="s">
        <v>179</v>
      </c>
      <c r="C223" s="49">
        <v>10.0</v>
      </c>
      <c r="D223" s="49">
        <v>313.0</v>
      </c>
      <c r="E223" s="51">
        <v>40.0</v>
      </c>
      <c r="F223" s="56">
        <v>44.5</v>
      </c>
    </row>
    <row r="224" ht="15.75" customHeight="1">
      <c r="B224" s="10" t="s">
        <v>182</v>
      </c>
      <c r="C224" s="49">
        <v>13.0</v>
      </c>
      <c r="D224" s="49">
        <v>196.0</v>
      </c>
      <c r="E224" s="51">
        <v>40.0</v>
      </c>
      <c r="F224" s="56">
        <v>41.54</v>
      </c>
    </row>
    <row r="225" ht="15.75" customHeight="1">
      <c r="B225" s="10" t="s">
        <v>172</v>
      </c>
      <c r="C225" s="49">
        <v>14.0</v>
      </c>
      <c r="D225" s="49">
        <v>195.0</v>
      </c>
      <c r="E225" s="51">
        <v>40.0</v>
      </c>
      <c r="F225" s="56">
        <v>47.86</v>
      </c>
    </row>
    <row r="226" ht="15.75" customHeight="1">
      <c r="B226" s="10" t="s">
        <v>176</v>
      </c>
      <c r="C226" s="49">
        <v>6.0</v>
      </c>
      <c r="D226" s="49">
        <v>187.0</v>
      </c>
      <c r="E226" s="51">
        <v>35.0</v>
      </c>
      <c r="F226" s="56">
        <v>41.67</v>
      </c>
    </row>
    <row r="227" ht="15.75" customHeight="1">
      <c r="B227" s="10" t="s">
        <v>181</v>
      </c>
      <c r="C227" s="49">
        <v>11.0</v>
      </c>
      <c r="D227" s="49">
        <v>178.0</v>
      </c>
      <c r="E227" s="51">
        <v>40.0</v>
      </c>
      <c r="F227" s="56">
        <v>50.45</v>
      </c>
    </row>
    <row r="228" ht="15.75" customHeight="1">
      <c r="B228" s="10" t="s">
        <v>180</v>
      </c>
      <c r="C228" s="49">
        <v>8.0</v>
      </c>
      <c r="D228" s="49">
        <v>118.0</v>
      </c>
      <c r="E228" s="51">
        <v>50.0</v>
      </c>
      <c r="F228" s="56">
        <v>61.25</v>
      </c>
    </row>
    <row r="229" ht="15.75" customHeight="1">
      <c r="B229" s="10" t="s">
        <v>175</v>
      </c>
      <c r="C229" s="49">
        <v>7.0</v>
      </c>
      <c r="D229" s="49">
        <v>117.0</v>
      </c>
      <c r="E229" s="51">
        <v>40.0</v>
      </c>
      <c r="F229" s="56">
        <v>45.71</v>
      </c>
    </row>
    <row r="230" ht="15.75" customHeight="1">
      <c r="B230" s="10" t="s">
        <v>167</v>
      </c>
      <c r="C230" s="49">
        <v>7.0</v>
      </c>
      <c r="D230" s="49">
        <v>104.0</v>
      </c>
      <c r="E230" s="51">
        <v>40.0</v>
      </c>
      <c r="F230" s="56">
        <v>47.86</v>
      </c>
    </row>
    <row r="231" ht="15.75" customHeight="1">
      <c r="B231" s="10" t="s">
        <v>170</v>
      </c>
      <c r="C231" s="49">
        <v>6.0</v>
      </c>
      <c r="D231" s="49">
        <v>82.0</v>
      </c>
      <c r="E231" s="51">
        <v>40.0</v>
      </c>
      <c r="F231" s="56">
        <v>45.0</v>
      </c>
    </row>
    <row r="232" ht="15.75" customHeight="1">
      <c r="B232" s="10" t="s">
        <v>178</v>
      </c>
      <c r="C232" s="49">
        <v>6.0</v>
      </c>
      <c r="D232" s="49">
        <v>73.0</v>
      </c>
      <c r="E232" s="51">
        <v>45.0</v>
      </c>
      <c r="F232" s="56">
        <v>48.33</v>
      </c>
    </row>
    <row r="233" ht="15.75" customHeight="1"/>
    <row r="234" ht="15.75" customHeight="1"/>
    <row r="235" ht="21.75" customHeight="1">
      <c r="B235" s="3" t="s">
        <v>265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B236" s="5" t="s">
        <v>266</v>
      </c>
    </row>
    <row r="237" ht="15.75" customHeight="1"/>
    <row r="238" ht="33.75" customHeight="1">
      <c r="B238" s="6" t="s">
        <v>267</v>
      </c>
      <c r="C238" s="6" t="s">
        <v>268</v>
      </c>
      <c r="D238" s="6" t="s">
        <v>269</v>
      </c>
      <c r="E238" s="6" t="s">
        <v>270</v>
      </c>
      <c r="F238" s="6" t="s">
        <v>271</v>
      </c>
      <c r="G238" s="6" t="s">
        <v>272</v>
      </c>
      <c r="H238" s="6" t="s">
        <v>273</v>
      </c>
      <c r="I238" s="6" t="s">
        <v>274</v>
      </c>
      <c r="J238" s="6" t="s">
        <v>212</v>
      </c>
    </row>
    <row r="239" ht="15.75" customHeight="1">
      <c r="B239" s="20" t="s">
        <v>275</v>
      </c>
      <c r="C239" s="49">
        <v>9031.0</v>
      </c>
      <c r="D239" s="57">
        <v>8.89</v>
      </c>
      <c r="E239" s="55">
        <v>1.757</v>
      </c>
      <c r="F239" s="32">
        <v>0.2876</v>
      </c>
      <c r="G239" s="58">
        <f t="shared" ref="G239:G247" si="18">D239/$D$239-1</f>
        <v>0</v>
      </c>
      <c r="H239" s="29">
        <f t="shared" ref="H239:H247" si="19">(D239-$D$239)*$C$34</f>
        <v>0</v>
      </c>
      <c r="I239" s="59">
        <f t="shared" ref="I239:I247" si="20">E239-$E$239</f>
        <v>0</v>
      </c>
      <c r="J239" s="53" t="str">
        <f>IF(25&lt;=$C$49,"Yes",IF(0&lt;$C$49,"Partly","No"))</f>
        <v>Yes</v>
      </c>
    </row>
    <row r="240" ht="15.75" customHeight="1">
      <c r="B240" s="20" t="s">
        <v>277</v>
      </c>
      <c r="C240" s="49">
        <v>4792.0</v>
      </c>
      <c r="D240" s="57">
        <v>9.34</v>
      </c>
      <c r="E240" s="55">
        <v>2.209</v>
      </c>
      <c r="F240" s="32">
        <v>0.3838</v>
      </c>
      <c r="G240" s="58">
        <f t="shared" si="18"/>
        <v>0.05061867267</v>
      </c>
      <c r="H240" s="29">
        <f t="shared" si="19"/>
        <v>1.127819549</v>
      </c>
      <c r="I240" s="59">
        <f t="shared" si="20"/>
        <v>0.452</v>
      </c>
      <c r="J240" s="53" t="str">
        <f>IF(50&lt;=$C$49,"Yes",IF(25&lt;$C$49,"Partly","No"))</f>
        <v>Yes</v>
      </c>
    </row>
    <row r="241" ht="15.75" customHeight="1">
      <c r="B241" s="20" t="s">
        <v>278</v>
      </c>
      <c r="C241" s="49">
        <v>3364.0</v>
      </c>
      <c r="D241" s="57">
        <v>9.94</v>
      </c>
      <c r="E241" s="55">
        <v>2.42</v>
      </c>
      <c r="F241" s="32">
        <v>0.4194</v>
      </c>
      <c r="G241" s="58">
        <f t="shared" si="18"/>
        <v>0.1181102362</v>
      </c>
      <c r="H241" s="29">
        <f t="shared" si="19"/>
        <v>2.631578947</v>
      </c>
      <c r="I241" s="59">
        <f t="shared" si="20"/>
        <v>0.663</v>
      </c>
      <c r="J241" s="53" t="str">
        <f>IF(75&lt;=$C$49,"Yes",IF(50&lt;$C$49,"Partly","No"))</f>
        <v>Partly</v>
      </c>
    </row>
    <row r="242" ht="15.75" customHeight="1">
      <c r="B242" s="20" t="s">
        <v>281</v>
      </c>
      <c r="C242" s="49">
        <v>3799.0</v>
      </c>
      <c r="D242" s="57">
        <v>10.12</v>
      </c>
      <c r="E242" s="55">
        <v>2.675</v>
      </c>
      <c r="F242" s="32">
        <v>0.4388</v>
      </c>
      <c r="G242" s="58">
        <f t="shared" si="18"/>
        <v>0.1383577053</v>
      </c>
      <c r="H242" s="29">
        <f t="shared" si="19"/>
        <v>3.082706767</v>
      </c>
      <c r="I242" s="59">
        <f t="shared" si="20"/>
        <v>0.918</v>
      </c>
      <c r="J242" s="53" t="str">
        <f>IF(100&lt;=$C$49,"Yes",IF(75&lt;$C$49,"Partly","No"))</f>
        <v>No</v>
      </c>
    </row>
    <row r="243" ht="15.75" customHeight="1">
      <c r="B243" s="20" t="s">
        <v>282</v>
      </c>
      <c r="C243" s="49">
        <v>2355.0</v>
      </c>
      <c r="D243" s="57">
        <v>12.69</v>
      </c>
      <c r="E243" s="55">
        <v>3.987</v>
      </c>
      <c r="F243" s="32">
        <v>0.6059</v>
      </c>
      <c r="G243" s="58">
        <f t="shared" si="18"/>
        <v>0.4274465692</v>
      </c>
      <c r="H243" s="29">
        <f t="shared" si="19"/>
        <v>9.523809524</v>
      </c>
      <c r="I243" s="59">
        <f t="shared" si="20"/>
        <v>2.23</v>
      </c>
      <c r="J243" s="53" t="str">
        <f>IF(125&lt;=$C$49,"Yes",IF(100&lt;$C$49,"Partly","No"))</f>
        <v>No</v>
      </c>
    </row>
    <row r="244" ht="15.75" customHeight="1">
      <c r="B244" s="20" t="s">
        <v>284</v>
      </c>
      <c r="C244" s="49">
        <v>2485.0</v>
      </c>
      <c r="D244" s="57">
        <v>12.59</v>
      </c>
      <c r="E244" s="55">
        <v>3.967</v>
      </c>
      <c r="F244" s="32">
        <v>0.6036</v>
      </c>
      <c r="G244" s="58">
        <f t="shared" si="18"/>
        <v>0.4161979753</v>
      </c>
      <c r="H244" s="29">
        <f t="shared" si="19"/>
        <v>9.273182957</v>
      </c>
      <c r="I244" s="59">
        <f t="shared" si="20"/>
        <v>2.21</v>
      </c>
      <c r="J244" s="53" t="str">
        <f>IF(150&lt;=$C$49,"Yes",IF(125&lt;$C$49,"Partly","No"))</f>
        <v>No</v>
      </c>
    </row>
    <row r="245" ht="15.75" customHeight="1">
      <c r="B245" s="20" t="s">
        <v>286</v>
      </c>
      <c r="C245" s="49">
        <v>3032.0</v>
      </c>
      <c r="D245" s="57">
        <v>13.57</v>
      </c>
      <c r="E245" s="55">
        <v>5.254</v>
      </c>
      <c r="F245" s="32">
        <v>0.7655</v>
      </c>
      <c r="G245" s="58">
        <f t="shared" si="18"/>
        <v>0.5264341957</v>
      </c>
      <c r="H245" s="29">
        <f t="shared" si="19"/>
        <v>11.72932331</v>
      </c>
      <c r="I245" s="59">
        <f t="shared" si="20"/>
        <v>3.497</v>
      </c>
      <c r="J245" s="53" t="str">
        <f>IF(200&lt;=$C$49,"Yes",IF(150&lt;$C$49,"Partly","No"))</f>
        <v>No</v>
      </c>
    </row>
    <row r="246" ht="15.75" customHeight="1">
      <c r="B246" s="20" t="s">
        <v>287</v>
      </c>
      <c r="C246" s="49">
        <v>7716.0</v>
      </c>
      <c r="D246" s="57">
        <v>14.57</v>
      </c>
      <c r="E246" s="55">
        <v>6.201</v>
      </c>
      <c r="F246" s="32">
        <v>0.8971</v>
      </c>
      <c r="G246" s="58">
        <f t="shared" si="18"/>
        <v>0.638920135</v>
      </c>
      <c r="H246" s="29">
        <f t="shared" si="19"/>
        <v>14.23558897</v>
      </c>
      <c r="I246" s="59">
        <f t="shared" si="20"/>
        <v>4.444</v>
      </c>
      <c r="J246" s="53" t="str">
        <f>IF(300&lt;=$C$49,"Yes",IF(200&lt;$C$49,"Partly","No"))</f>
        <v>No</v>
      </c>
    </row>
    <row r="247" ht="15.75" customHeight="1">
      <c r="B247" s="20" t="s">
        <v>289</v>
      </c>
      <c r="C247" s="49">
        <v>27738.0</v>
      </c>
      <c r="D247" s="57">
        <v>16.11</v>
      </c>
      <c r="E247" s="55">
        <v>6.993</v>
      </c>
      <c r="F247" s="32">
        <v>0.9141</v>
      </c>
      <c r="G247" s="58">
        <f t="shared" si="18"/>
        <v>0.8121484814</v>
      </c>
      <c r="H247" s="29">
        <f t="shared" si="19"/>
        <v>18.0952381</v>
      </c>
      <c r="I247" s="59">
        <f t="shared" si="20"/>
        <v>5.236</v>
      </c>
      <c r="J247" s="53" t="str">
        <f>IF(500&lt;=$C$49,"Yes",IF(300&lt;$C$49,"Partly","No"))</f>
        <v>No</v>
      </c>
    </row>
    <row r="248" ht="15.75" customHeight="1">
      <c r="B248" s="14" t="s">
        <v>291</v>
      </c>
      <c r="G248" s="61">
        <f>G243</f>
        <v>0.4274465692</v>
      </c>
    </row>
    <row r="249" ht="15.75" customHeight="1">
      <c r="B249" s="14" t="s">
        <v>303</v>
      </c>
      <c r="G249" s="58">
        <f>G242</f>
        <v>0.1383577053</v>
      </c>
    </row>
    <row r="250" ht="15.75" customHeight="1">
      <c r="B250" s="14" t="s">
        <v>304</v>
      </c>
      <c r="G250" s="59">
        <f>E243-E242</f>
        <v>1.312</v>
      </c>
    </row>
    <row r="251" ht="15.75" customHeight="1"/>
    <row r="252" ht="15.75" customHeight="1"/>
    <row r="253" ht="15.75" customHeight="1"/>
    <row r="254" ht="15.75" customHeight="1"/>
    <row r="255" ht="21.75" customHeight="1">
      <c r="B255" s="3" t="s">
        <v>305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B256" s="5" t="s">
        <v>306</v>
      </c>
    </row>
    <row r="257" ht="15.75" customHeight="1"/>
    <row r="258" ht="45.75" customHeight="1">
      <c r="B258" s="6" t="s">
        <v>307</v>
      </c>
      <c r="C258" s="6" t="s">
        <v>308</v>
      </c>
      <c r="D258" s="6" t="s">
        <v>310</v>
      </c>
      <c r="E258" s="6" t="s">
        <v>311</v>
      </c>
      <c r="F258" s="6" t="s">
        <v>312</v>
      </c>
      <c r="G258" s="6" t="s">
        <v>313</v>
      </c>
      <c r="H258" s="6" t="s">
        <v>314</v>
      </c>
      <c r="I258" s="6" t="s">
        <v>315</v>
      </c>
      <c r="J258" s="6" t="s">
        <v>316</v>
      </c>
      <c r="K258" s="6" t="s">
        <v>317</v>
      </c>
      <c r="L258" s="6" t="s">
        <v>318</v>
      </c>
      <c r="M258" s="6" t="s">
        <v>319</v>
      </c>
    </row>
    <row r="259" ht="15.75" customHeight="1">
      <c r="B259" s="36">
        <v>10.0</v>
      </c>
      <c r="C259" s="54">
        <f t="shared" ref="C259:C281" si="21">PI()*B259^2</f>
        <v>314.1592654</v>
      </c>
      <c r="D259" s="32">
        <v>0.1536</v>
      </c>
      <c r="E259" s="55">
        <v>19.977</v>
      </c>
      <c r="F259" s="27">
        <v>0.0</v>
      </c>
      <c r="G259" s="32">
        <v>0.0</v>
      </c>
      <c r="H259" s="56">
        <v>6.26</v>
      </c>
      <c r="I259" s="26">
        <f t="shared" ref="I259:I281" si="22">1-(1+$O$260*(B259/100)^$O$261*$O$259/($O$262*(B259/100)^$O$263))^(-($O$262*(B259/100)^$O$263))</f>
        <v>0.1854023948</v>
      </c>
      <c r="J259" s="29">
        <f t="shared" ref="J259:J281" si="23">D259*($C$25-F259)-$C$30-$C$32*E259</f>
        <v>-13.227</v>
      </c>
      <c r="K259" s="63">
        <f t="shared" ref="K259:K281" si="24">J259*100</f>
        <v>-1322.7</v>
      </c>
      <c r="L259" s="63"/>
      <c r="M259" s="53" t="str">
        <f t="shared" ref="M259:M281" si="25">IF(J259&gt;0,"Yes","No")</f>
        <v>No</v>
      </c>
      <c r="N259" s="10" t="s">
        <v>325</v>
      </c>
      <c r="O259" s="64">
        <v>22.0</v>
      </c>
    </row>
    <row r="260" ht="15.75" customHeight="1">
      <c r="B260" s="36">
        <v>20.0</v>
      </c>
      <c r="C260" s="54">
        <f t="shared" si="21"/>
        <v>1256.637061</v>
      </c>
      <c r="D260" s="32">
        <v>0.271</v>
      </c>
      <c r="E260" s="55">
        <v>18.161</v>
      </c>
      <c r="F260" s="27">
        <v>0.0</v>
      </c>
      <c r="G260" s="32">
        <v>0.0</v>
      </c>
      <c r="H260" s="56">
        <v>11.63</v>
      </c>
      <c r="I260" s="26">
        <f t="shared" si="22"/>
        <v>0.2588677855</v>
      </c>
      <c r="J260" s="29">
        <f t="shared" si="23"/>
        <v>1.466333333</v>
      </c>
      <c r="K260" s="63">
        <f t="shared" si="24"/>
        <v>146.6333333</v>
      </c>
      <c r="L260" s="63">
        <f t="shared" ref="L260:L281" si="26">(K260-K259)/(B260-B259)*10</f>
        <v>1469.333333</v>
      </c>
      <c r="M260" s="53" t="str">
        <f t="shared" si="25"/>
        <v>Yes</v>
      </c>
      <c r="N260" s="10" t="s">
        <v>338</v>
      </c>
      <c r="O260" s="64">
        <v>0.0896</v>
      </c>
    </row>
    <row r="261" ht="15.75" customHeight="1">
      <c r="B261" s="36">
        <v>25.0</v>
      </c>
      <c r="C261" s="54">
        <f t="shared" si="21"/>
        <v>1963.495408</v>
      </c>
      <c r="D261" s="32">
        <v>0.3051</v>
      </c>
      <c r="E261" s="55">
        <v>17.619</v>
      </c>
      <c r="F261" s="27">
        <v>0.0</v>
      </c>
      <c r="G261" s="32">
        <v>0.0</v>
      </c>
      <c r="H261" s="56">
        <v>13.9</v>
      </c>
      <c r="I261" s="26">
        <f t="shared" si="22"/>
        <v>0.2871109316</v>
      </c>
      <c r="J261" s="29">
        <f t="shared" si="23"/>
        <v>5.739</v>
      </c>
      <c r="K261" s="63">
        <f t="shared" si="24"/>
        <v>573.9</v>
      </c>
      <c r="L261" s="63">
        <f t="shared" si="26"/>
        <v>854.5333333</v>
      </c>
      <c r="M261" s="53" t="str">
        <f t="shared" si="25"/>
        <v>Yes</v>
      </c>
      <c r="N261" s="10" t="s">
        <v>339</v>
      </c>
      <c r="O261" s="64">
        <v>0.585</v>
      </c>
    </row>
    <row r="262" ht="15.75" customHeight="1">
      <c r="B262" s="36">
        <v>30.0</v>
      </c>
      <c r="C262" s="54">
        <f t="shared" si="21"/>
        <v>2827.433388</v>
      </c>
      <c r="D262" s="32">
        <v>0.3303</v>
      </c>
      <c r="E262" s="55">
        <v>17.171</v>
      </c>
      <c r="F262" s="27">
        <v>0.368</v>
      </c>
      <c r="G262" s="32">
        <v>0.0</v>
      </c>
      <c r="H262" s="56">
        <v>15.42</v>
      </c>
      <c r="I262" s="26">
        <f t="shared" si="22"/>
        <v>0.3119375489</v>
      </c>
      <c r="J262" s="29">
        <f t="shared" si="23"/>
        <v>8.790782933</v>
      </c>
      <c r="K262" s="63">
        <f t="shared" si="24"/>
        <v>879.0782933</v>
      </c>
      <c r="L262" s="63">
        <f t="shared" si="26"/>
        <v>610.3565867</v>
      </c>
      <c r="M262" s="53" t="str">
        <f t="shared" si="25"/>
        <v>Yes</v>
      </c>
      <c r="N262" s="10" t="s">
        <v>340</v>
      </c>
      <c r="O262" s="64">
        <v>0.41</v>
      </c>
    </row>
    <row r="263" ht="15.75" customHeight="1">
      <c r="B263" s="36">
        <v>33.0</v>
      </c>
      <c r="C263" s="54">
        <f t="shared" si="21"/>
        <v>3421.1944</v>
      </c>
      <c r="D263" s="32">
        <v>0.3438</v>
      </c>
      <c r="E263" s="55">
        <v>16.938</v>
      </c>
      <c r="F263" s="27">
        <v>0.509</v>
      </c>
      <c r="G263" s="32">
        <v>0.0</v>
      </c>
      <c r="H263" s="56">
        <v>16.4</v>
      </c>
      <c r="I263" s="26">
        <f t="shared" si="22"/>
        <v>0.325548298</v>
      </c>
      <c r="J263" s="29">
        <f t="shared" si="23"/>
        <v>10.4350058</v>
      </c>
      <c r="K263" s="63">
        <f t="shared" si="24"/>
        <v>1043.50058</v>
      </c>
      <c r="L263" s="63">
        <f t="shared" si="26"/>
        <v>548.0742889</v>
      </c>
      <c r="M263" s="53" t="str">
        <f t="shared" si="25"/>
        <v>Yes</v>
      </c>
      <c r="N263" s="10" t="s">
        <v>341</v>
      </c>
      <c r="O263" s="64">
        <v>0.51</v>
      </c>
    </row>
    <row r="264" ht="15.75" customHeight="1">
      <c r="B264" s="36">
        <v>35.0</v>
      </c>
      <c r="C264" s="54">
        <f t="shared" si="21"/>
        <v>3848.451001</v>
      </c>
      <c r="D264" s="32">
        <v>0.3509</v>
      </c>
      <c r="E264" s="55">
        <v>16.794</v>
      </c>
      <c r="F264" s="27">
        <v>0.585</v>
      </c>
      <c r="G264" s="32">
        <v>0.0</v>
      </c>
      <c r="H264" s="56">
        <v>17.29</v>
      </c>
      <c r="I264" s="26">
        <f t="shared" si="22"/>
        <v>0.3341678822</v>
      </c>
      <c r="J264" s="29">
        <f t="shared" si="23"/>
        <v>11.3047235</v>
      </c>
      <c r="K264" s="63">
        <f t="shared" si="24"/>
        <v>1130.47235</v>
      </c>
      <c r="L264" s="63">
        <f t="shared" si="26"/>
        <v>434.85885</v>
      </c>
      <c r="M264" s="53" t="str">
        <f t="shared" si="25"/>
        <v>Yes</v>
      </c>
    </row>
    <row r="265" ht="15.75" customHeight="1">
      <c r="B265" s="36">
        <v>40.0</v>
      </c>
      <c r="C265" s="54">
        <f t="shared" si="21"/>
        <v>5026.548246</v>
      </c>
      <c r="D265" s="32">
        <v>0.3702</v>
      </c>
      <c r="E265" s="55">
        <v>16.497</v>
      </c>
      <c r="F265" s="27">
        <v>0.733</v>
      </c>
      <c r="G265" s="32">
        <v>0.0</v>
      </c>
      <c r="H265" s="56">
        <v>18.99</v>
      </c>
      <c r="I265" s="26">
        <f t="shared" si="22"/>
        <v>0.3543404825</v>
      </c>
      <c r="J265" s="29">
        <f t="shared" si="23"/>
        <v>13.6536434</v>
      </c>
      <c r="K265" s="63">
        <f t="shared" si="24"/>
        <v>1365.36434</v>
      </c>
      <c r="L265" s="63">
        <f t="shared" si="26"/>
        <v>469.78398</v>
      </c>
      <c r="M265" s="53" t="str">
        <f t="shared" si="25"/>
        <v>Yes</v>
      </c>
    </row>
    <row r="266" ht="15.75" customHeight="1">
      <c r="B266" s="36">
        <v>50.0</v>
      </c>
      <c r="C266" s="54">
        <f t="shared" si="21"/>
        <v>7853.981634</v>
      </c>
      <c r="D266" s="32">
        <v>0.394</v>
      </c>
      <c r="E266" s="55">
        <v>16.056</v>
      </c>
      <c r="F266" s="27">
        <v>0.914</v>
      </c>
      <c r="G266" s="32">
        <v>0.0</v>
      </c>
      <c r="H266" s="56">
        <v>21.39</v>
      </c>
      <c r="I266" s="26">
        <f t="shared" si="22"/>
        <v>0.3899168308</v>
      </c>
      <c r="J266" s="29">
        <f t="shared" si="23"/>
        <v>16.567884</v>
      </c>
      <c r="K266" s="63">
        <f t="shared" si="24"/>
        <v>1656.7884</v>
      </c>
      <c r="L266" s="63">
        <f t="shared" si="26"/>
        <v>291.42406</v>
      </c>
      <c r="M266" s="53" t="str">
        <f t="shared" si="25"/>
        <v>Yes</v>
      </c>
    </row>
    <row r="267" ht="15.75" customHeight="1">
      <c r="B267" s="36">
        <v>60.0</v>
      </c>
      <c r="C267" s="54">
        <f t="shared" si="21"/>
        <v>11309.73355</v>
      </c>
      <c r="D267" s="32">
        <v>0.4189</v>
      </c>
      <c r="E267" s="55">
        <v>15.638</v>
      </c>
      <c r="F267" s="27">
        <v>1.09</v>
      </c>
      <c r="G267" s="32">
        <v>0.0</v>
      </c>
      <c r="H267" s="56">
        <v>24.17</v>
      </c>
      <c r="I267" s="26">
        <f t="shared" si="22"/>
        <v>0.4206574868</v>
      </c>
      <c r="J267" s="29">
        <f t="shared" si="23"/>
        <v>19.59873233</v>
      </c>
      <c r="K267" s="63">
        <f t="shared" si="24"/>
        <v>1959.873233</v>
      </c>
      <c r="L267" s="63">
        <f t="shared" si="26"/>
        <v>303.0848333</v>
      </c>
      <c r="M267" s="53" t="str">
        <f t="shared" si="25"/>
        <v>Yes</v>
      </c>
    </row>
    <row r="268" ht="15.75" customHeight="1">
      <c r="B268" s="36">
        <v>70.0</v>
      </c>
      <c r="C268" s="54">
        <f t="shared" si="21"/>
        <v>15393.804</v>
      </c>
      <c r="D268" s="32">
        <v>0.4414</v>
      </c>
      <c r="E268" s="55">
        <v>15.264</v>
      </c>
      <c r="F268" s="27">
        <v>1.204</v>
      </c>
      <c r="G268" s="32">
        <v>0.0</v>
      </c>
      <c r="H268" s="56">
        <v>26.09</v>
      </c>
      <c r="I268" s="26">
        <f t="shared" si="22"/>
        <v>0.4477531286</v>
      </c>
      <c r="J268" s="29">
        <f t="shared" si="23"/>
        <v>22.3485544</v>
      </c>
      <c r="K268" s="63">
        <f t="shared" si="24"/>
        <v>2234.85544</v>
      </c>
      <c r="L268" s="63">
        <f t="shared" si="26"/>
        <v>274.9822067</v>
      </c>
      <c r="M268" s="53" t="str">
        <f t="shared" si="25"/>
        <v>Yes</v>
      </c>
    </row>
    <row r="269" ht="15.75" customHeight="1">
      <c r="B269" s="36">
        <v>75.0</v>
      </c>
      <c r="C269" s="54">
        <f t="shared" si="21"/>
        <v>17671.45868</v>
      </c>
      <c r="D269" s="32">
        <v>0.4529</v>
      </c>
      <c r="E269" s="55">
        <v>15.072</v>
      </c>
      <c r="F269" s="27">
        <v>1.265</v>
      </c>
      <c r="G269" s="32">
        <v>0.0</v>
      </c>
      <c r="H269" s="56">
        <v>27.5</v>
      </c>
      <c r="I269" s="26">
        <f t="shared" si="22"/>
        <v>0.4601880777</v>
      </c>
      <c r="J269" s="29">
        <f t="shared" si="23"/>
        <v>23.7510815</v>
      </c>
      <c r="K269" s="63">
        <f t="shared" si="24"/>
        <v>2375.10815</v>
      </c>
      <c r="L269" s="63">
        <f t="shared" si="26"/>
        <v>280.50542</v>
      </c>
      <c r="M269" s="53" t="str">
        <f t="shared" si="25"/>
        <v>Yes</v>
      </c>
    </row>
    <row r="270" ht="15.75" customHeight="1">
      <c r="B270" s="36">
        <v>80.0</v>
      </c>
      <c r="C270" s="54">
        <f t="shared" si="21"/>
        <v>20106.19298</v>
      </c>
      <c r="D270" s="32">
        <v>0.4624</v>
      </c>
      <c r="E270" s="55">
        <v>14.905</v>
      </c>
      <c r="F270" s="27">
        <v>1.343</v>
      </c>
      <c r="G270" s="32">
        <v>0.0</v>
      </c>
      <c r="H270" s="56">
        <v>28.81</v>
      </c>
      <c r="I270" s="26">
        <f t="shared" si="22"/>
        <v>0.4719828112</v>
      </c>
      <c r="J270" s="29">
        <f t="shared" si="23"/>
        <v>24.89866347</v>
      </c>
      <c r="K270" s="63">
        <f t="shared" si="24"/>
        <v>2489.866347</v>
      </c>
      <c r="L270" s="63">
        <f t="shared" si="26"/>
        <v>229.5163933</v>
      </c>
      <c r="M270" s="53" t="str">
        <f t="shared" si="25"/>
        <v>Yes</v>
      </c>
    </row>
    <row r="271" ht="15.75" customHeight="1">
      <c r="B271" s="36">
        <v>90.0</v>
      </c>
      <c r="C271" s="54">
        <f t="shared" si="21"/>
        <v>25446.90049</v>
      </c>
      <c r="D271" s="32">
        <v>0.4828</v>
      </c>
      <c r="E271" s="55">
        <v>14.572</v>
      </c>
      <c r="F271" s="27">
        <v>1.502</v>
      </c>
      <c r="G271" s="32">
        <v>0.0</v>
      </c>
      <c r="H271" s="56">
        <v>31.76</v>
      </c>
      <c r="I271" s="26">
        <f t="shared" si="22"/>
        <v>0.4938889823</v>
      </c>
      <c r="J271" s="29">
        <f t="shared" si="23"/>
        <v>27.35350107</v>
      </c>
      <c r="K271" s="63">
        <f t="shared" si="24"/>
        <v>2735.350107</v>
      </c>
      <c r="L271" s="63">
        <f t="shared" si="26"/>
        <v>245.48376</v>
      </c>
      <c r="M271" s="53" t="str">
        <f t="shared" si="25"/>
        <v>Yes</v>
      </c>
    </row>
    <row r="272" ht="15.75" customHeight="1">
      <c r="B272" s="36">
        <v>100.0</v>
      </c>
      <c r="C272" s="54">
        <f t="shared" si="21"/>
        <v>31415.92654</v>
      </c>
      <c r="D272" s="32">
        <v>0.5022</v>
      </c>
      <c r="E272" s="55">
        <v>14.221</v>
      </c>
      <c r="F272" s="27">
        <v>1.629</v>
      </c>
      <c r="G272" s="32">
        <v>0.0</v>
      </c>
      <c r="H272" s="56">
        <v>35.04</v>
      </c>
      <c r="I272" s="26">
        <f t="shared" si="22"/>
        <v>0.5138670338</v>
      </c>
      <c r="J272" s="29">
        <f t="shared" si="23"/>
        <v>29.70558287</v>
      </c>
      <c r="K272" s="63">
        <f t="shared" si="24"/>
        <v>2970.558287</v>
      </c>
      <c r="L272" s="63">
        <f t="shared" si="26"/>
        <v>235.20818</v>
      </c>
      <c r="M272" s="53" t="str">
        <f t="shared" si="25"/>
        <v>Yes</v>
      </c>
    </row>
    <row r="273" ht="15.75" customHeight="1">
      <c r="B273" s="36">
        <v>110.0</v>
      </c>
      <c r="C273" s="54">
        <f t="shared" si="21"/>
        <v>38013.27111</v>
      </c>
      <c r="D273" s="32">
        <v>0.5197</v>
      </c>
      <c r="E273" s="55">
        <v>13.931</v>
      </c>
      <c r="F273" s="27">
        <v>2.109</v>
      </c>
      <c r="G273" s="32">
        <v>0.0717</v>
      </c>
      <c r="H273" s="56">
        <v>38.03</v>
      </c>
      <c r="I273" s="26">
        <f t="shared" si="22"/>
        <v>0.532215482</v>
      </c>
      <c r="J273" s="29">
        <f t="shared" si="23"/>
        <v>31.62428603</v>
      </c>
      <c r="K273" s="63">
        <f t="shared" si="24"/>
        <v>3162.428603</v>
      </c>
      <c r="L273" s="63">
        <f t="shared" si="26"/>
        <v>191.8703167</v>
      </c>
      <c r="M273" s="53" t="str">
        <f t="shared" si="25"/>
        <v>Yes</v>
      </c>
    </row>
    <row r="274" ht="15.75" customHeight="1">
      <c r="B274" s="36">
        <v>125.0</v>
      </c>
      <c r="C274" s="54">
        <f t="shared" si="21"/>
        <v>49087.38521</v>
      </c>
      <c r="D274" s="32">
        <v>0.543</v>
      </c>
      <c r="E274" s="55">
        <v>13.533</v>
      </c>
      <c r="F274" s="27">
        <v>2.609</v>
      </c>
      <c r="G274" s="32">
        <v>0.1468</v>
      </c>
      <c r="H274" s="56">
        <v>42.19</v>
      </c>
      <c r="I274" s="26">
        <f t="shared" si="22"/>
        <v>0.5571761805</v>
      </c>
      <c r="J274" s="29">
        <f t="shared" si="23"/>
        <v>34.232313</v>
      </c>
      <c r="K274" s="63">
        <f t="shared" si="24"/>
        <v>3423.2313</v>
      </c>
      <c r="L274" s="63">
        <f t="shared" si="26"/>
        <v>173.8684644</v>
      </c>
      <c r="M274" s="53" t="str">
        <f t="shared" si="25"/>
        <v>Yes</v>
      </c>
    </row>
    <row r="275" ht="15.75" customHeight="1">
      <c r="B275" s="36">
        <v>150.0</v>
      </c>
      <c r="C275" s="54">
        <f t="shared" si="21"/>
        <v>70685.83471</v>
      </c>
      <c r="D275" s="32">
        <v>0.5792</v>
      </c>
      <c r="E275" s="55">
        <v>12.922</v>
      </c>
      <c r="F275" s="27">
        <v>3.256</v>
      </c>
      <c r="G275" s="32">
        <v>0.24</v>
      </c>
      <c r="H275" s="56">
        <v>51.63</v>
      </c>
      <c r="I275" s="26">
        <f t="shared" si="22"/>
        <v>0.5933042344</v>
      </c>
      <c r="J275" s="29">
        <f t="shared" si="23"/>
        <v>38.31079147</v>
      </c>
      <c r="K275" s="63">
        <f t="shared" si="24"/>
        <v>3831.079147</v>
      </c>
      <c r="L275" s="63">
        <f t="shared" si="26"/>
        <v>163.1391387</v>
      </c>
      <c r="M275" s="53" t="str">
        <f t="shared" si="25"/>
        <v>Yes</v>
      </c>
    </row>
    <row r="276" ht="15.75" customHeight="1">
      <c r="B276" s="36">
        <v>175.0</v>
      </c>
      <c r="C276" s="54">
        <f t="shared" si="21"/>
        <v>96211.27502</v>
      </c>
      <c r="D276" s="32">
        <v>0.6127</v>
      </c>
      <c r="E276" s="55">
        <v>12.383</v>
      </c>
      <c r="F276" s="27">
        <v>4.203</v>
      </c>
      <c r="G276" s="32">
        <v>0.322</v>
      </c>
      <c r="H276" s="56">
        <v>63.8</v>
      </c>
      <c r="I276" s="26">
        <f t="shared" si="22"/>
        <v>0.6241358412</v>
      </c>
      <c r="J276" s="29">
        <f t="shared" si="23"/>
        <v>41.82115523</v>
      </c>
      <c r="K276" s="63">
        <f t="shared" si="24"/>
        <v>4182.115523</v>
      </c>
      <c r="L276" s="63">
        <f t="shared" si="26"/>
        <v>140.4145507</v>
      </c>
      <c r="M276" s="53" t="str">
        <f t="shared" si="25"/>
        <v>Yes</v>
      </c>
    </row>
    <row r="277" ht="15.75" customHeight="1">
      <c r="B277" s="36">
        <v>200.0</v>
      </c>
      <c r="C277" s="54">
        <f t="shared" si="21"/>
        <v>125663.7061</v>
      </c>
      <c r="D277" s="32">
        <v>0.6437</v>
      </c>
      <c r="E277" s="55">
        <v>11.887</v>
      </c>
      <c r="F277" s="27">
        <v>4.841</v>
      </c>
      <c r="G277" s="32">
        <v>0.376</v>
      </c>
      <c r="H277" s="56">
        <v>72.62</v>
      </c>
      <c r="I277" s="26">
        <f t="shared" si="22"/>
        <v>0.6508894704</v>
      </c>
      <c r="J277" s="29">
        <f t="shared" si="23"/>
        <v>45.16551497</v>
      </c>
      <c r="K277" s="63">
        <f t="shared" si="24"/>
        <v>4516.551497</v>
      </c>
      <c r="L277" s="63">
        <f t="shared" si="26"/>
        <v>133.7743893</v>
      </c>
      <c r="M277" s="53" t="str">
        <f t="shared" si="25"/>
        <v>Yes</v>
      </c>
    </row>
    <row r="278" ht="15.75" customHeight="1">
      <c r="B278" s="36">
        <v>250.0</v>
      </c>
      <c r="C278" s="54">
        <f t="shared" si="21"/>
        <v>196349.5408</v>
      </c>
      <c r="D278" s="32">
        <v>0.6934</v>
      </c>
      <c r="E278" s="55">
        <v>10.985</v>
      </c>
      <c r="F278" s="27">
        <v>6.678</v>
      </c>
      <c r="G278" s="32">
        <v>0.4676</v>
      </c>
      <c r="H278" s="56">
        <v>91.91</v>
      </c>
      <c r="I278" s="26">
        <f t="shared" si="22"/>
        <v>0.6952813341</v>
      </c>
      <c r="J278" s="29">
        <f t="shared" si="23"/>
        <v>49.91580813</v>
      </c>
      <c r="K278" s="63">
        <f t="shared" si="24"/>
        <v>4991.580813</v>
      </c>
      <c r="L278" s="63">
        <f t="shared" si="26"/>
        <v>95.00586333</v>
      </c>
      <c r="M278" s="53" t="str">
        <f t="shared" si="25"/>
        <v>Yes</v>
      </c>
    </row>
    <row r="279" ht="15.75" customHeight="1">
      <c r="B279" s="36">
        <v>300.0</v>
      </c>
      <c r="C279" s="54">
        <f t="shared" si="21"/>
        <v>282743.3388</v>
      </c>
      <c r="D279" s="32">
        <v>0.7342</v>
      </c>
      <c r="E279" s="55">
        <v>10.133</v>
      </c>
      <c r="F279" s="27">
        <v>8.117</v>
      </c>
      <c r="G279" s="32">
        <v>0.5425</v>
      </c>
      <c r="H279" s="56">
        <v>115.67</v>
      </c>
      <c r="I279" s="26">
        <f t="shared" si="22"/>
        <v>0.7308257114</v>
      </c>
      <c r="J279" s="29">
        <f t="shared" si="23"/>
        <v>53.76683193</v>
      </c>
      <c r="K279" s="63">
        <f t="shared" si="24"/>
        <v>5376.683193</v>
      </c>
      <c r="L279" s="63">
        <f t="shared" si="26"/>
        <v>77.020476</v>
      </c>
      <c r="M279" s="53" t="str">
        <f t="shared" si="25"/>
        <v>Yes</v>
      </c>
    </row>
    <row r="280" ht="15.75" customHeight="1">
      <c r="B280" s="36">
        <v>400.0</v>
      </c>
      <c r="C280" s="54">
        <f t="shared" si="21"/>
        <v>502654.8246</v>
      </c>
      <c r="D280" s="32">
        <v>0.806</v>
      </c>
      <c r="E280" s="55">
        <v>7.998</v>
      </c>
      <c r="F280" s="27">
        <v>12.943</v>
      </c>
      <c r="G280" s="32">
        <v>0.7162</v>
      </c>
      <c r="H280" s="56">
        <v>233.86</v>
      </c>
      <c r="I280" s="26">
        <f t="shared" si="22"/>
        <v>0.7845167435</v>
      </c>
      <c r="J280" s="29">
        <f t="shared" si="23"/>
        <v>58.621942</v>
      </c>
      <c r="K280" s="63">
        <f t="shared" si="24"/>
        <v>5862.1942</v>
      </c>
      <c r="L280" s="63">
        <f t="shared" si="26"/>
        <v>48.55110067</v>
      </c>
      <c r="M280" s="53" t="str">
        <f t="shared" si="25"/>
        <v>Yes</v>
      </c>
    </row>
    <row r="281" ht="15.75" customHeight="1">
      <c r="B281" s="36">
        <v>500.0</v>
      </c>
      <c r="C281" s="54">
        <f t="shared" si="21"/>
        <v>785398.1634</v>
      </c>
      <c r="D281" s="32">
        <v>0.8527</v>
      </c>
      <c r="E281" s="55">
        <v>6.704</v>
      </c>
      <c r="F281" s="27">
        <v>14.664</v>
      </c>
      <c r="G281" s="32">
        <v>0.7715</v>
      </c>
      <c r="H281" s="56">
        <v>310.29</v>
      </c>
      <c r="I281" s="26">
        <f t="shared" si="22"/>
        <v>0.8232502859</v>
      </c>
      <c r="J281" s="29">
        <f t="shared" si="23"/>
        <v>62.58534053</v>
      </c>
      <c r="K281" s="63">
        <f t="shared" si="24"/>
        <v>6258.534053</v>
      </c>
      <c r="L281" s="63">
        <f t="shared" si="26"/>
        <v>39.63398533</v>
      </c>
      <c r="M281" s="53" t="str">
        <f t="shared" si="25"/>
        <v>Yes</v>
      </c>
    </row>
    <row r="282" ht="15.75" customHeight="1">
      <c r="B282" s="14" t="s">
        <v>359</v>
      </c>
      <c r="J282" s="38">
        <f t="array" ref="J282">INDEX(B259:B281,MATCH("Yes",M259:M281,0))</f>
        <v>20</v>
      </c>
    </row>
    <row r="283" ht="15.75" customHeight="1">
      <c r="B283" s="14" t="s">
        <v>360</v>
      </c>
      <c r="J283" s="63">
        <f>(K261-K259)/(B261-B259)*10</f>
        <v>1264.4</v>
      </c>
      <c r="K283" s="63">
        <f>(K268-K266)/(B268-B266)*10</f>
        <v>289.03352</v>
      </c>
      <c r="L283" s="63">
        <f>(K277-K272)/(B277-B272)*10</f>
        <v>154.599321</v>
      </c>
    </row>
    <row r="284" ht="15.75" customHeight="1">
      <c r="B284" s="14" t="s">
        <v>361</v>
      </c>
      <c r="J284" s="26">
        <f t="array" ref="J284">INDEX(G259:G281,MATCH(70,B259:B281,0))</f>
        <v>0</v>
      </c>
    </row>
    <row r="285" ht="15.75" customHeight="1"/>
    <row r="286" ht="15.75" customHeight="1">
      <c r="B286" s="39" t="s">
        <v>362</v>
      </c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</row>
    <row r="287" ht="33.75" customHeight="1">
      <c r="B287" s="6" t="s">
        <v>209</v>
      </c>
      <c r="C287" s="6" t="s">
        <v>210</v>
      </c>
      <c r="D287" s="6" t="s">
        <v>161</v>
      </c>
      <c r="E287" s="6" t="s">
        <v>363</v>
      </c>
      <c r="F287" s="6" t="s">
        <v>364</v>
      </c>
      <c r="G287" s="6" t="s">
        <v>365</v>
      </c>
      <c r="H287" s="6" t="s">
        <v>366</v>
      </c>
      <c r="I287" s="6" t="s">
        <v>367</v>
      </c>
    </row>
    <row r="288" ht="15.75" customHeight="1">
      <c r="B288" s="52">
        <v>1.0</v>
      </c>
      <c r="C288" s="10" t="s">
        <v>214</v>
      </c>
      <c r="D288" s="10" t="s">
        <v>169</v>
      </c>
      <c r="E288" s="49">
        <v>450.0</v>
      </c>
      <c r="F288" s="51">
        <v>19.0</v>
      </c>
      <c r="G288" s="51">
        <v>18.0</v>
      </c>
      <c r="H288" s="69">
        <f t="shared" ref="H288:H307" si="27">G288-F288</f>
        <v>-1</v>
      </c>
      <c r="I288" s="53" t="str">
        <f t="shared" ref="I288:I307" si="28">IF(F288&lt;=$C$49,"Yes","No")</f>
        <v>Yes</v>
      </c>
    </row>
    <row r="289" ht="15.75" customHeight="1">
      <c r="B289" s="52">
        <v>2.0</v>
      </c>
      <c r="C289" s="10" t="s">
        <v>215</v>
      </c>
      <c r="D289" s="10" t="s">
        <v>176</v>
      </c>
      <c r="E289" s="49">
        <v>425.0</v>
      </c>
      <c r="F289" s="51">
        <v>13.0</v>
      </c>
      <c r="G289" s="51">
        <v>13.0</v>
      </c>
      <c r="H289" s="69">
        <f t="shared" si="27"/>
        <v>0</v>
      </c>
      <c r="I289" s="53" t="str">
        <f t="shared" si="28"/>
        <v>Yes</v>
      </c>
    </row>
    <row r="290" ht="15.75" customHeight="1">
      <c r="B290" s="52">
        <v>3.0</v>
      </c>
      <c r="C290" s="10" t="s">
        <v>216</v>
      </c>
      <c r="D290" s="10" t="s">
        <v>179</v>
      </c>
      <c r="E290" s="49">
        <v>341.0</v>
      </c>
      <c r="F290" s="51">
        <v>29.0</v>
      </c>
      <c r="G290" s="51">
        <v>25.0</v>
      </c>
      <c r="H290" s="69">
        <f t="shared" si="27"/>
        <v>-4</v>
      </c>
      <c r="I290" s="53" t="str">
        <f t="shared" si="28"/>
        <v>Yes</v>
      </c>
    </row>
    <row r="291" ht="15.75" customHeight="1">
      <c r="B291" s="52">
        <v>4.0</v>
      </c>
      <c r="C291" s="10" t="s">
        <v>217</v>
      </c>
      <c r="D291" s="10" t="s">
        <v>174</v>
      </c>
      <c r="E291" s="49">
        <v>302.0</v>
      </c>
      <c r="F291" s="51">
        <v>30.0</v>
      </c>
      <c r="G291" s="51">
        <v>37.0</v>
      </c>
      <c r="H291" s="69">
        <f t="shared" si="27"/>
        <v>7</v>
      </c>
      <c r="I291" s="53" t="str">
        <f t="shared" si="28"/>
        <v>Yes</v>
      </c>
    </row>
    <row r="292" ht="15.75" customHeight="1">
      <c r="B292" s="52">
        <v>5.0</v>
      </c>
      <c r="C292" s="10" t="s">
        <v>218</v>
      </c>
      <c r="D292" s="10" t="s">
        <v>179</v>
      </c>
      <c r="E292" s="49">
        <v>291.0</v>
      </c>
      <c r="F292" s="51">
        <v>43.0</v>
      </c>
      <c r="G292" s="51">
        <v>46.0</v>
      </c>
      <c r="H292" s="69">
        <f t="shared" si="27"/>
        <v>3</v>
      </c>
      <c r="I292" s="53" t="str">
        <f t="shared" si="28"/>
        <v>Yes</v>
      </c>
    </row>
    <row r="293" ht="15.75" customHeight="1">
      <c r="B293" s="52">
        <v>6.0</v>
      </c>
      <c r="C293" s="10" t="s">
        <v>219</v>
      </c>
      <c r="D293" s="10" t="s">
        <v>171</v>
      </c>
      <c r="E293" s="49">
        <v>291.0</v>
      </c>
      <c r="F293" s="51">
        <v>29.0</v>
      </c>
      <c r="G293" s="51">
        <v>33.0</v>
      </c>
      <c r="H293" s="69">
        <f t="shared" si="27"/>
        <v>4</v>
      </c>
      <c r="I293" s="53" t="str">
        <f t="shared" si="28"/>
        <v>Yes</v>
      </c>
    </row>
    <row r="294" ht="15.75" customHeight="1">
      <c r="B294" s="52">
        <v>7.0</v>
      </c>
      <c r="C294" s="10" t="s">
        <v>220</v>
      </c>
      <c r="D294" s="10" t="s">
        <v>179</v>
      </c>
      <c r="E294" s="49">
        <v>279.0</v>
      </c>
      <c r="F294" s="51">
        <v>43.0</v>
      </c>
      <c r="G294" s="51">
        <v>46.0</v>
      </c>
      <c r="H294" s="69">
        <f t="shared" si="27"/>
        <v>3</v>
      </c>
      <c r="I294" s="53" t="str">
        <f t="shared" si="28"/>
        <v>Yes</v>
      </c>
    </row>
    <row r="295" ht="15.75" customHeight="1">
      <c r="B295" s="52">
        <v>8.0</v>
      </c>
      <c r="C295" s="10" t="s">
        <v>221</v>
      </c>
      <c r="D295" s="10" t="s">
        <v>179</v>
      </c>
      <c r="E295" s="49">
        <v>273.0</v>
      </c>
      <c r="F295" s="51">
        <v>26.0</v>
      </c>
      <c r="G295" s="51">
        <v>33.0</v>
      </c>
      <c r="H295" s="69">
        <f t="shared" si="27"/>
        <v>7</v>
      </c>
      <c r="I295" s="53" t="str">
        <f t="shared" si="28"/>
        <v>Yes</v>
      </c>
    </row>
    <row r="296" ht="15.75" customHeight="1">
      <c r="B296" s="52">
        <v>9.0</v>
      </c>
      <c r="C296" s="10" t="s">
        <v>222</v>
      </c>
      <c r="D296" s="10" t="s">
        <v>166</v>
      </c>
      <c r="E296" s="49">
        <v>262.0</v>
      </c>
      <c r="F296" s="51">
        <v>40.0</v>
      </c>
      <c r="G296" s="51">
        <v>38.0</v>
      </c>
      <c r="H296" s="69">
        <f t="shared" si="27"/>
        <v>-2</v>
      </c>
      <c r="I296" s="53" t="str">
        <f t="shared" si="28"/>
        <v>Yes</v>
      </c>
    </row>
    <row r="297" ht="15.75" customHeight="1">
      <c r="B297" s="52">
        <v>10.0</v>
      </c>
      <c r="C297" s="10" t="s">
        <v>224</v>
      </c>
      <c r="D297" s="10" t="s">
        <v>166</v>
      </c>
      <c r="E297" s="49">
        <v>242.0</v>
      </c>
      <c r="F297" s="51">
        <v>54.0</v>
      </c>
      <c r="G297" s="51">
        <v>57.0</v>
      </c>
      <c r="H297" s="69">
        <f t="shared" si="27"/>
        <v>3</v>
      </c>
      <c r="I297" s="53" t="str">
        <f t="shared" si="28"/>
        <v>Yes</v>
      </c>
    </row>
    <row r="298" ht="15.75" customHeight="1">
      <c r="B298" s="52">
        <v>11.0</v>
      </c>
      <c r="C298" s="10" t="s">
        <v>225</v>
      </c>
      <c r="D298" s="10" t="s">
        <v>174</v>
      </c>
      <c r="E298" s="49">
        <v>235.0</v>
      </c>
      <c r="F298" s="51">
        <v>37.0</v>
      </c>
      <c r="G298" s="51">
        <v>43.0</v>
      </c>
      <c r="H298" s="69">
        <f t="shared" si="27"/>
        <v>6</v>
      </c>
      <c r="I298" s="53" t="str">
        <f t="shared" si="28"/>
        <v>Yes</v>
      </c>
    </row>
    <row r="299" ht="15.75" customHeight="1">
      <c r="B299" s="52">
        <v>12.0</v>
      </c>
      <c r="C299" s="10" t="s">
        <v>226</v>
      </c>
      <c r="D299" s="10" t="s">
        <v>166</v>
      </c>
      <c r="E299" s="49">
        <v>218.0</v>
      </c>
      <c r="F299" s="51">
        <v>81.0</v>
      </c>
      <c r="G299" s="51">
        <v>72.0</v>
      </c>
      <c r="H299" s="69">
        <f t="shared" si="27"/>
        <v>-9</v>
      </c>
      <c r="I299" s="53" t="str">
        <f t="shared" si="28"/>
        <v>No</v>
      </c>
    </row>
    <row r="300" ht="15.75" customHeight="1">
      <c r="B300" s="52">
        <v>13.0</v>
      </c>
      <c r="C300" s="10" t="s">
        <v>227</v>
      </c>
      <c r="D300" s="10" t="s">
        <v>369</v>
      </c>
      <c r="E300" s="49">
        <v>187.0</v>
      </c>
      <c r="F300" s="51">
        <v>32.0</v>
      </c>
      <c r="G300" s="51">
        <v>38.0</v>
      </c>
      <c r="H300" s="69">
        <f t="shared" si="27"/>
        <v>6</v>
      </c>
      <c r="I300" s="53" t="str">
        <f t="shared" si="28"/>
        <v>Yes</v>
      </c>
    </row>
    <row r="301" ht="15.75" customHeight="1">
      <c r="B301" s="52">
        <v>14.0</v>
      </c>
      <c r="C301" s="10" t="s">
        <v>229</v>
      </c>
      <c r="D301" s="10" t="s">
        <v>171</v>
      </c>
      <c r="E301" s="49">
        <v>170.0</v>
      </c>
      <c r="F301" s="51">
        <v>38.0</v>
      </c>
      <c r="G301" s="51">
        <v>35.0</v>
      </c>
      <c r="H301" s="69">
        <f t="shared" si="27"/>
        <v>-3</v>
      </c>
      <c r="I301" s="53" t="str">
        <f t="shared" si="28"/>
        <v>Yes</v>
      </c>
    </row>
    <row r="302" ht="15.75" customHeight="1">
      <c r="B302" s="52">
        <v>15.0</v>
      </c>
      <c r="C302" s="10" t="s">
        <v>230</v>
      </c>
      <c r="D302" s="10" t="s">
        <v>166</v>
      </c>
      <c r="E302" s="49">
        <v>151.0</v>
      </c>
      <c r="F302" s="51">
        <v>61.0</v>
      </c>
      <c r="G302" s="51">
        <v>56.0</v>
      </c>
      <c r="H302" s="69">
        <f t="shared" si="27"/>
        <v>-5</v>
      </c>
      <c r="I302" s="53" t="str">
        <f t="shared" si="28"/>
        <v>Yes</v>
      </c>
    </row>
    <row r="303" ht="15.75" customHeight="1">
      <c r="B303" s="52">
        <v>16.0</v>
      </c>
      <c r="C303" s="10" t="s">
        <v>231</v>
      </c>
      <c r="D303" s="10" t="s">
        <v>171</v>
      </c>
      <c r="E303" s="49">
        <v>152.0</v>
      </c>
      <c r="F303" s="51">
        <v>84.0</v>
      </c>
      <c r="G303" s="51">
        <v>60.0</v>
      </c>
      <c r="H303" s="69">
        <f t="shared" si="27"/>
        <v>-24</v>
      </c>
      <c r="I303" s="53" t="str">
        <f t="shared" si="28"/>
        <v>No</v>
      </c>
    </row>
    <row r="304" ht="15.75" customHeight="1">
      <c r="B304" s="52">
        <v>17.0</v>
      </c>
      <c r="C304" s="10" t="s">
        <v>232</v>
      </c>
      <c r="D304" s="10" t="s">
        <v>175</v>
      </c>
      <c r="E304" s="49">
        <v>159.0</v>
      </c>
      <c r="F304" s="51">
        <v>36.0</v>
      </c>
      <c r="G304" s="51">
        <v>45.0</v>
      </c>
      <c r="H304" s="69">
        <f t="shared" si="27"/>
        <v>9</v>
      </c>
      <c r="I304" s="53" t="str">
        <f t="shared" si="28"/>
        <v>Yes</v>
      </c>
    </row>
    <row r="305" ht="15.75" customHeight="1">
      <c r="B305" s="52">
        <v>18.0</v>
      </c>
      <c r="C305" s="10" t="s">
        <v>233</v>
      </c>
      <c r="D305" s="10" t="s">
        <v>171</v>
      </c>
      <c r="E305" s="49">
        <v>89.0</v>
      </c>
      <c r="F305" s="51">
        <v>129.0</v>
      </c>
      <c r="G305" s="51">
        <v>92.0</v>
      </c>
      <c r="H305" s="69">
        <f t="shared" si="27"/>
        <v>-37</v>
      </c>
      <c r="I305" s="53" t="str">
        <f t="shared" si="28"/>
        <v>No</v>
      </c>
    </row>
    <row r="306" ht="15.75" customHeight="1">
      <c r="B306" s="52">
        <v>19.0</v>
      </c>
      <c r="C306" s="10" t="s">
        <v>234</v>
      </c>
      <c r="D306" s="10" t="s">
        <v>174</v>
      </c>
      <c r="E306" s="49">
        <v>147.0</v>
      </c>
      <c r="F306" s="51">
        <v>35.0</v>
      </c>
      <c r="G306" s="51">
        <v>23.0</v>
      </c>
      <c r="H306" s="69">
        <f t="shared" si="27"/>
        <v>-12</v>
      </c>
      <c r="I306" s="53" t="str">
        <f t="shared" si="28"/>
        <v>Yes</v>
      </c>
    </row>
    <row r="307" ht="15.75" customHeight="1">
      <c r="B307" s="52">
        <v>20.0</v>
      </c>
      <c r="C307" s="10" t="s">
        <v>235</v>
      </c>
      <c r="D307" s="10" t="s">
        <v>236</v>
      </c>
      <c r="E307" s="49">
        <v>141.0</v>
      </c>
      <c r="F307" s="51">
        <v>41.0</v>
      </c>
      <c r="G307" s="51">
        <v>52.0</v>
      </c>
      <c r="H307" s="69">
        <f t="shared" si="27"/>
        <v>11</v>
      </c>
      <c r="I307" s="53" t="str">
        <f t="shared" si="28"/>
        <v>Yes</v>
      </c>
    </row>
    <row r="308" ht="15.75" customHeight="1">
      <c r="B308" s="14" t="s">
        <v>373</v>
      </c>
      <c r="F308" s="50">
        <f t="shared" ref="F308:G308" si="29">MEDIAN(F288:F307)</f>
        <v>37.5</v>
      </c>
      <c r="G308" s="50">
        <f t="shared" si="29"/>
        <v>40.5</v>
      </c>
    </row>
    <row r="309" ht="15.75" customHeight="1">
      <c r="B309" s="14" t="s">
        <v>375</v>
      </c>
      <c r="I309" s="71" t="str">
        <f>COUNTIF(I288:I307,"Yes")&amp;" of 20"</f>
        <v>17 of 20</v>
      </c>
    </row>
    <row r="310" ht="15.75" customHeight="1"/>
    <row r="311" ht="15.75" customHeight="1"/>
    <row r="312" ht="21.75" customHeight="1">
      <c r="B312" s="3" t="s">
        <v>378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B313" s="5" t="s">
        <v>380</v>
      </c>
    </row>
    <row r="314" ht="15.75" customHeight="1"/>
    <row r="315" ht="30.0" customHeight="1">
      <c r="B315" s="6" t="s">
        <v>209</v>
      </c>
      <c r="C315" s="6" t="s">
        <v>386</v>
      </c>
      <c r="D315" s="6" t="s">
        <v>387</v>
      </c>
      <c r="E315" s="6" t="s">
        <v>388</v>
      </c>
      <c r="F315" s="6" t="s">
        <v>390</v>
      </c>
      <c r="G315" s="6" t="s">
        <v>391</v>
      </c>
      <c r="H315" s="6" t="s">
        <v>392</v>
      </c>
      <c r="I315" s="6" t="s">
        <v>393</v>
      </c>
    </row>
    <row r="316" ht="15.75" customHeight="1">
      <c r="B316" s="52">
        <v>1.0</v>
      </c>
      <c r="C316" s="72">
        <v>0.11879</v>
      </c>
      <c r="D316" s="72">
        <v>0.15652</v>
      </c>
      <c r="E316" s="72">
        <v>0.15562</v>
      </c>
      <c r="F316" s="72">
        <v>0.16851</v>
      </c>
      <c r="G316" s="72">
        <v>0.17441</v>
      </c>
      <c r="H316" s="72">
        <v>0.17308</v>
      </c>
      <c r="I316" s="72">
        <v>0.18518</v>
      </c>
    </row>
    <row r="317" ht="15.75" customHeight="1">
      <c r="B317" s="52">
        <v>2.0</v>
      </c>
      <c r="C317" s="72">
        <v>0.32033</v>
      </c>
      <c r="D317" s="72">
        <v>0.31503</v>
      </c>
      <c r="E317" s="72">
        <v>0.32223</v>
      </c>
      <c r="F317" s="72">
        <v>0.36758</v>
      </c>
      <c r="G317" s="72">
        <v>0.38406</v>
      </c>
      <c r="H317" s="72">
        <v>0.42988</v>
      </c>
      <c r="I317" s="72">
        <v>0.45395</v>
      </c>
    </row>
    <row r="318" ht="15.75" customHeight="1">
      <c r="B318" s="52">
        <v>3.0</v>
      </c>
      <c r="C318" s="72">
        <v>0.07397</v>
      </c>
      <c r="D318" s="72">
        <v>0.07332</v>
      </c>
      <c r="E318" s="72">
        <v>0.07528</v>
      </c>
      <c r="F318" s="72">
        <v>0.07335</v>
      </c>
      <c r="G318" s="72">
        <v>0.07697</v>
      </c>
      <c r="H318" s="72">
        <v>0.08358</v>
      </c>
      <c r="I318" s="72">
        <v>0.0888</v>
      </c>
    </row>
    <row r="319" ht="15.75" customHeight="1">
      <c r="B319" s="52">
        <v>4.0</v>
      </c>
      <c r="C319" s="72">
        <v>0.05075</v>
      </c>
      <c r="D319" s="72">
        <v>0.05341</v>
      </c>
      <c r="E319" s="72">
        <v>0.06061</v>
      </c>
      <c r="F319" s="72">
        <v>0.06152</v>
      </c>
      <c r="G319" s="72">
        <v>0.06088</v>
      </c>
      <c r="H319" s="72">
        <v>0.06476</v>
      </c>
      <c r="I319" s="72">
        <v>0.06802</v>
      </c>
    </row>
    <row r="320" ht="15.75" customHeight="1">
      <c r="B320" s="52">
        <v>5.0</v>
      </c>
      <c r="C320" s="72">
        <v>0.03369</v>
      </c>
      <c r="D320" s="72">
        <v>0.03704</v>
      </c>
      <c r="E320" s="72">
        <v>0.0427</v>
      </c>
      <c r="F320" s="72">
        <v>0.04558</v>
      </c>
      <c r="G320" s="72">
        <v>0.04781</v>
      </c>
      <c r="H320" s="72">
        <v>0.05293</v>
      </c>
      <c r="I320" s="72">
        <v>0.06019</v>
      </c>
    </row>
    <row r="321" ht="15.75" customHeight="1">
      <c r="B321" s="52">
        <v>6.0</v>
      </c>
      <c r="C321" s="72">
        <v>0.05998</v>
      </c>
      <c r="D321" s="72">
        <v>0.05851</v>
      </c>
      <c r="E321" s="72">
        <v>0.06537</v>
      </c>
      <c r="F321" s="72">
        <v>0.07154</v>
      </c>
      <c r="G321" s="72">
        <v>0.07926</v>
      </c>
      <c r="H321" s="72">
        <v>0.08626</v>
      </c>
      <c r="I321" s="72">
        <v>0.1008</v>
      </c>
    </row>
    <row r="322" ht="15.75" customHeight="1">
      <c r="B322" s="52">
        <v>7.0</v>
      </c>
      <c r="C322" s="72">
        <v>0.03792</v>
      </c>
      <c r="D322" s="72">
        <v>0.04278</v>
      </c>
      <c r="E322" s="72">
        <v>0.04564</v>
      </c>
      <c r="F322" s="72">
        <v>0.0455</v>
      </c>
      <c r="G322" s="72">
        <v>0.04556</v>
      </c>
      <c r="H322" s="72">
        <v>0.05269</v>
      </c>
      <c r="I322" s="72">
        <v>0.05545</v>
      </c>
    </row>
    <row r="323" ht="15.75" customHeight="1">
      <c r="B323" s="52">
        <v>8.0</v>
      </c>
      <c r="C323" s="72">
        <v>0.0656</v>
      </c>
      <c r="D323" s="72">
        <v>0.06376</v>
      </c>
      <c r="E323" s="72">
        <v>0.06492</v>
      </c>
      <c r="F323" s="72">
        <v>0.06713</v>
      </c>
      <c r="G323" s="72">
        <v>0.07073</v>
      </c>
      <c r="H323" s="72">
        <v>0.0765</v>
      </c>
      <c r="I323" s="72">
        <v>0.08701</v>
      </c>
    </row>
    <row r="324" ht="15.75" customHeight="1">
      <c r="B324" s="52">
        <v>9.0</v>
      </c>
      <c r="C324" s="72">
        <v>0.10304</v>
      </c>
      <c r="D324" s="72">
        <v>0.12674</v>
      </c>
      <c r="E324" s="72">
        <v>0.14655</v>
      </c>
      <c r="F324" s="72">
        <v>0.13728</v>
      </c>
      <c r="G324" s="72">
        <v>0.13697</v>
      </c>
      <c r="H324" s="72">
        <v>0.13052</v>
      </c>
      <c r="I324" s="72">
        <v>0.12862</v>
      </c>
    </row>
    <row r="325" ht="15.75" customHeight="1">
      <c r="B325" s="52">
        <v>10.0</v>
      </c>
      <c r="C325" s="72">
        <v>0.0318</v>
      </c>
      <c r="D325" s="72">
        <v>0.03783</v>
      </c>
      <c r="E325" s="72">
        <v>0.04368</v>
      </c>
      <c r="F325" s="72">
        <v>0.04605</v>
      </c>
      <c r="G325" s="72">
        <v>0.0499</v>
      </c>
      <c r="H325" s="72">
        <v>0.05471</v>
      </c>
      <c r="I325" s="72">
        <v>0.05394</v>
      </c>
    </row>
    <row r="326" ht="15.75" customHeight="1">
      <c r="B326" s="52">
        <v>11.0</v>
      </c>
      <c r="C326" s="72">
        <v>0.05945</v>
      </c>
      <c r="D326" s="72">
        <v>0.06817</v>
      </c>
      <c r="E326" s="72">
        <v>0.06861</v>
      </c>
      <c r="F326" s="72">
        <v>0.07668</v>
      </c>
      <c r="G326" s="72">
        <v>0.08315</v>
      </c>
      <c r="H326" s="72">
        <v>0.08869</v>
      </c>
      <c r="I326" s="72">
        <v>0.0926</v>
      </c>
    </row>
    <row r="327" ht="15.75" customHeight="1">
      <c r="B327" s="52">
        <v>12.0</v>
      </c>
      <c r="C327" s="72">
        <v>0.04586</v>
      </c>
      <c r="D327" s="72">
        <v>0.04535</v>
      </c>
      <c r="E327" s="72">
        <v>0.04956</v>
      </c>
      <c r="F327" s="72">
        <v>0.0499</v>
      </c>
      <c r="G327" s="72">
        <v>0.0495</v>
      </c>
      <c r="H327" s="72">
        <v>0.05501</v>
      </c>
      <c r="I327" s="72">
        <v>0.05552</v>
      </c>
    </row>
    <row r="328" ht="15.75" customHeight="1">
      <c r="B328" s="52">
        <v>13.0</v>
      </c>
      <c r="C328" s="72">
        <v>0.07556</v>
      </c>
      <c r="D328" s="72">
        <v>0.08846</v>
      </c>
      <c r="E328" s="72">
        <v>0.08443</v>
      </c>
      <c r="F328" s="72">
        <v>0.08802</v>
      </c>
      <c r="G328" s="72">
        <v>0.09122</v>
      </c>
      <c r="H328" s="72">
        <v>0.09467</v>
      </c>
      <c r="I328" s="72">
        <v>0.09515</v>
      </c>
    </row>
    <row r="329" ht="15.75" customHeight="1">
      <c r="B329" s="52">
        <v>14.0</v>
      </c>
      <c r="C329" s="72">
        <v>0.05594</v>
      </c>
      <c r="D329" s="72">
        <v>0.06404</v>
      </c>
      <c r="E329" s="72">
        <v>0.06943</v>
      </c>
      <c r="F329" s="72">
        <v>0.07574</v>
      </c>
      <c r="G329" s="72">
        <v>0.08189</v>
      </c>
      <c r="H329" s="72">
        <v>0.07822</v>
      </c>
      <c r="I329" s="72">
        <v>0.07956</v>
      </c>
    </row>
    <row r="330" ht="15.75" customHeight="1">
      <c r="B330" s="52">
        <v>15.0</v>
      </c>
      <c r="C330" s="72">
        <v>0.03142</v>
      </c>
      <c r="D330" s="72">
        <v>0.05246</v>
      </c>
      <c r="E330" s="72">
        <v>0.05872</v>
      </c>
      <c r="F330" s="72">
        <v>0.0578</v>
      </c>
      <c r="G330" s="72">
        <v>0.05539</v>
      </c>
      <c r="H330" s="72">
        <v>0.05662</v>
      </c>
      <c r="I330" s="72">
        <v>0.06832</v>
      </c>
    </row>
    <row r="331" ht="15.75" customHeight="1">
      <c r="B331" s="52">
        <v>16.0</v>
      </c>
      <c r="C331" s="72">
        <v>0.03406</v>
      </c>
      <c r="D331" s="72">
        <v>0.04178</v>
      </c>
      <c r="E331" s="72">
        <v>0.03978</v>
      </c>
      <c r="F331" s="72">
        <v>0.0372</v>
      </c>
      <c r="G331" s="72">
        <v>0.03665</v>
      </c>
      <c r="H331" s="72">
        <v>0.03626</v>
      </c>
      <c r="I331" s="72">
        <v>0.03653</v>
      </c>
    </row>
    <row r="332" ht="15.75" customHeight="1">
      <c r="B332" s="52">
        <v>17.0</v>
      </c>
      <c r="C332" s="72">
        <v>0.10591</v>
      </c>
      <c r="D332" s="72">
        <v>0.12055</v>
      </c>
      <c r="E332" s="72">
        <v>0.13318</v>
      </c>
      <c r="F332" s="72">
        <v>0.11274</v>
      </c>
      <c r="G332" s="72">
        <v>0.1101</v>
      </c>
      <c r="H332" s="72">
        <v>0.10695</v>
      </c>
      <c r="I332" s="72">
        <v>0.1373</v>
      </c>
    </row>
    <row r="333" ht="15.75" customHeight="1">
      <c r="B333" s="52">
        <v>18.0</v>
      </c>
      <c r="C333" s="72">
        <v>0.06881</v>
      </c>
      <c r="D333" s="72">
        <v>0.06174</v>
      </c>
      <c r="E333" s="72">
        <v>0.10006</v>
      </c>
      <c r="F333" s="72">
        <v>0.08877</v>
      </c>
      <c r="G333" s="72">
        <v>0.08877</v>
      </c>
      <c r="H333" s="72">
        <v>0.08641</v>
      </c>
      <c r="I333" s="72">
        <v>0.07988</v>
      </c>
    </row>
    <row r="334" ht="15.75" customHeight="1">
      <c r="B334" s="52">
        <v>19.0</v>
      </c>
      <c r="C334" s="72">
        <v>0.06607</v>
      </c>
      <c r="D334" s="72">
        <v>0.06408</v>
      </c>
      <c r="E334" s="72">
        <v>0.07132</v>
      </c>
      <c r="F334" s="72">
        <v>0.066</v>
      </c>
      <c r="G334" s="72">
        <v>0.0642</v>
      </c>
      <c r="H334" s="72">
        <v>0.06433</v>
      </c>
      <c r="I334" s="72">
        <v>0.06309</v>
      </c>
    </row>
    <row r="335" ht="15.75" customHeight="1">
      <c r="B335" s="52">
        <v>20.0</v>
      </c>
      <c r="C335" s="72">
        <v>0.04239</v>
      </c>
      <c r="D335" s="72">
        <v>0.04041</v>
      </c>
      <c r="E335" s="72">
        <v>0.04752</v>
      </c>
      <c r="F335" s="72">
        <v>0.05221</v>
      </c>
      <c r="G335" s="72">
        <v>0.05352</v>
      </c>
      <c r="H335" s="72">
        <v>0.05572</v>
      </c>
      <c r="I335" s="72">
        <v>0.0663</v>
      </c>
    </row>
    <row r="336" ht="15.75" customHeight="1">
      <c r="B336" s="14" t="s">
        <v>396</v>
      </c>
      <c r="C336" s="51">
        <v>50.0</v>
      </c>
      <c r="D336" s="51">
        <v>60.0</v>
      </c>
      <c r="E336" s="51">
        <v>70.0</v>
      </c>
      <c r="F336" s="51">
        <v>75.0</v>
      </c>
      <c r="G336" s="51">
        <v>80.0</v>
      </c>
      <c r="H336" s="51">
        <v>90.0</v>
      </c>
      <c r="I336" s="51">
        <v>100.0</v>
      </c>
    </row>
    <row r="337" ht="15.75" customHeight="1">
      <c r="B337" s="14" t="s">
        <v>397</v>
      </c>
      <c r="C337" s="74">
        <f t="shared" ref="C337:I337" si="30">AVERAGE(C316:C335)</f>
        <v>0.074067</v>
      </c>
      <c r="D337" s="74">
        <f t="shared" si="30"/>
        <v>0.080599</v>
      </c>
      <c r="E337" s="74">
        <f t="shared" si="30"/>
        <v>0.0872605</v>
      </c>
      <c r="F337" s="74">
        <f t="shared" si="30"/>
        <v>0.089455</v>
      </c>
      <c r="G337" s="74">
        <f t="shared" si="30"/>
        <v>0.092047</v>
      </c>
      <c r="H337" s="74">
        <f t="shared" si="30"/>
        <v>0.0963895</v>
      </c>
      <c r="I337" s="74">
        <f t="shared" si="30"/>
        <v>0.1028105</v>
      </c>
    </row>
    <row r="338" ht="15.75" customHeight="1">
      <c r="B338" s="14" t="s">
        <v>398</v>
      </c>
      <c r="C338" s="75">
        <f t="shared" ref="C338:I338" si="31">C337*30</f>
        <v>2.22201</v>
      </c>
      <c r="D338" s="75">
        <f t="shared" si="31"/>
        <v>2.41797</v>
      </c>
      <c r="E338" s="75">
        <f t="shared" si="31"/>
        <v>2.617815</v>
      </c>
      <c r="F338" s="75">
        <f t="shared" si="31"/>
        <v>2.68365</v>
      </c>
      <c r="G338" s="75">
        <f t="shared" si="31"/>
        <v>2.76141</v>
      </c>
      <c r="H338" s="75">
        <f t="shared" si="31"/>
        <v>2.891685</v>
      </c>
      <c r="I338" s="75">
        <f t="shared" si="31"/>
        <v>3.084315</v>
      </c>
    </row>
    <row r="339" ht="15.75" customHeight="1">
      <c r="B339" s="14" t="s">
        <v>308</v>
      </c>
      <c r="C339" s="54">
        <f t="shared" ref="C339:I339" si="32">PI()*C336^2</f>
        <v>7853.981634</v>
      </c>
      <c r="D339" s="54">
        <f t="shared" si="32"/>
        <v>11309.73355</v>
      </c>
      <c r="E339" s="54">
        <f t="shared" si="32"/>
        <v>15393.804</v>
      </c>
      <c r="F339" s="54">
        <f t="shared" si="32"/>
        <v>17671.45868</v>
      </c>
      <c r="G339" s="54">
        <f t="shared" si="32"/>
        <v>20106.19298</v>
      </c>
      <c r="H339" s="54">
        <f t="shared" si="32"/>
        <v>25446.90049</v>
      </c>
      <c r="I339" s="54">
        <f t="shared" si="32"/>
        <v>31415.92654</v>
      </c>
    </row>
    <row r="340" ht="15.75" customHeight="1">
      <c r="B340" s="14" t="s">
        <v>401</v>
      </c>
      <c r="C340" s="30">
        <f t="shared" ref="C340:I340" si="33">C338/C339*1000</f>
        <v>0.2829151001</v>
      </c>
      <c r="D340" s="30">
        <f t="shared" si="33"/>
        <v>0.2137954876</v>
      </c>
      <c r="E340" s="30">
        <f t="shared" si="33"/>
        <v>0.1700564071</v>
      </c>
      <c r="F340" s="30">
        <f t="shared" si="33"/>
        <v>0.1518635246</v>
      </c>
      <c r="G340" s="30">
        <f t="shared" si="33"/>
        <v>0.1373412661</v>
      </c>
      <c r="H340" s="30">
        <f t="shared" si="33"/>
        <v>0.1136360399</v>
      </c>
      <c r="I340" s="30">
        <f t="shared" si="33"/>
        <v>0.09817679566</v>
      </c>
    </row>
    <row r="341" ht="15.75" customHeight="1">
      <c r="B341" s="14" t="s">
        <v>403</v>
      </c>
      <c r="C341" s="76">
        <f t="shared" ref="C341:I341" si="34">C339/$C$339</f>
        <v>1</v>
      </c>
      <c r="D341" s="76">
        <f t="shared" si="34"/>
        <v>1.44</v>
      </c>
      <c r="E341" s="76">
        <f t="shared" si="34"/>
        <v>1.96</v>
      </c>
      <c r="F341" s="76">
        <f t="shared" si="34"/>
        <v>2.25</v>
      </c>
      <c r="G341" s="76">
        <f t="shared" si="34"/>
        <v>2.56</v>
      </c>
      <c r="H341" s="76">
        <f t="shared" si="34"/>
        <v>3.24</v>
      </c>
      <c r="I341" s="76">
        <f t="shared" si="34"/>
        <v>4</v>
      </c>
    </row>
    <row r="342" ht="15.75" customHeight="1">
      <c r="B342" s="14" t="s">
        <v>409</v>
      </c>
      <c r="C342" s="76">
        <f t="shared" ref="C342:I342" si="35">C337/$C$337</f>
        <v>1</v>
      </c>
      <c r="D342" s="76">
        <f t="shared" si="35"/>
        <v>1.088190422</v>
      </c>
      <c r="E342" s="76">
        <f t="shared" si="35"/>
        <v>1.178129261</v>
      </c>
      <c r="F342" s="76">
        <f t="shared" si="35"/>
        <v>1.207757841</v>
      </c>
      <c r="G342" s="76">
        <f t="shared" si="35"/>
        <v>1.242753183</v>
      </c>
      <c r="H342" s="76">
        <f t="shared" si="35"/>
        <v>1.301382532</v>
      </c>
      <c r="I342" s="76">
        <f t="shared" si="35"/>
        <v>1.388074311</v>
      </c>
    </row>
    <row r="343" ht="15.75" customHeight="1">
      <c r="B343" s="14" t="s">
        <v>414</v>
      </c>
      <c r="C343" s="77" t="str">
        <f>SLOPE(LN(C337:I337),LN(C336:I336))</f>
        <v>#DIV/0!</v>
      </c>
      <c r="D343" s="5" t="s">
        <v>416</v>
      </c>
    </row>
    <row r="344" ht="15.75" customHeight="1"/>
    <row r="345" ht="21.75" customHeight="1">
      <c r="B345" s="3" t="s">
        <v>418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B346" s="5" t="s">
        <v>419</v>
      </c>
    </row>
    <row r="347" ht="15.75" customHeight="1"/>
    <row r="348" ht="15.75" customHeight="1">
      <c r="B348" s="14" t="s">
        <v>420</v>
      </c>
      <c r="C348" s="64">
        <v>28.632</v>
      </c>
    </row>
    <row r="349" ht="15.75" customHeight="1">
      <c r="B349" s="14" t="s">
        <v>421</v>
      </c>
      <c r="C349" s="64">
        <v>77.219</v>
      </c>
    </row>
    <row r="350" ht="30.0" customHeight="1">
      <c r="B350" s="6" t="s">
        <v>422</v>
      </c>
      <c r="C350" s="6" t="s">
        <v>423</v>
      </c>
      <c r="D350" s="6" t="s">
        <v>424</v>
      </c>
      <c r="E350" s="6" t="s">
        <v>425</v>
      </c>
      <c r="F350" s="6" t="s">
        <v>212</v>
      </c>
    </row>
    <row r="351" ht="15.75" customHeight="1">
      <c r="B351" s="10" t="s">
        <v>426</v>
      </c>
      <c r="C351" s="64">
        <v>28.535</v>
      </c>
      <c r="D351" s="64">
        <v>77.391</v>
      </c>
      <c r="E351" s="50">
        <f t="shared" ref="E351:E366" si="36">2*6371*ASIN(SQRT(SIN(RADIANS(C351-$C$348)/2)^2+COS(RADIANS($C$348))*COS(RADIANS(C351))*SIN(RADIANS(D351-$C$349)/2)^2))</f>
        <v>19.95975061</v>
      </c>
      <c r="F351" s="53" t="str">
        <f t="shared" ref="F351:F366" si="37">IF(E351&lt;=$C$49,"inside","outside")</f>
        <v>inside</v>
      </c>
    </row>
    <row r="352" ht="15.75" customHeight="1">
      <c r="B352" s="10" t="s">
        <v>431</v>
      </c>
      <c r="C352" s="64">
        <v>28.669</v>
      </c>
      <c r="D352" s="64">
        <v>77.454</v>
      </c>
      <c r="E352" s="50">
        <f t="shared" si="36"/>
        <v>23.29751682</v>
      </c>
      <c r="F352" s="53" t="str">
        <f t="shared" si="37"/>
        <v>inside</v>
      </c>
    </row>
    <row r="353" ht="15.75" customHeight="1">
      <c r="B353" s="10" t="s">
        <v>432</v>
      </c>
      <c r="C353" s="64">
        <v>28.408</v>
      </c>
      <c r="D353" s="64">
        <v>77.318</v>
      </c>
      <c r="E353" s="50">
        <f t="shared" si="36"/>
        <v>26.71979962</v>
      </c>
      <c r="F353" s="53" t="str">
        <f t="shared" si="37"/>
        <v>inside</v>
      </c>
    </row>
    <row r="354" ht="15.75" customHeight="1">
      <c r="B354" s="10" t="s">
        <v>433</v>
      </c>
      <c r="C354" s="64">
        <v>28.459</v>
      </c>
      <c r="D354" s="64">
        <v>77.027</v>
      </c>
      <c r="E354" s="50">
        <f t="shared" si="36"/>
        <v>26.86575636</v>
      </c>
      <c r="F354" s="53" t="str">
        <f t="shared" si="37"/>
        <v>inside</v>
      </c>
    </row>
    <row r="355" ht="15.75" customHeight="1">
      <c r="B355" s="10" t="s">
        <v>434</v>
      </c>
      <c r="C355" s="64">
        <v>28.692</v>
      </c>
      <c r="D355" s="64">
        <v>76.935</v>
      </c>
      <c r="E355" s="50">
        <f t="shared" si="36"/>
        <v>28.50161636</v>
      </c>
      <c r="F355" s="53" t="str">
        <f t="shared" si="37"/>
        <v>inside</v>
      </c>
    </row>
    <row r="356" ht="15.75" customHeight="1">
      <c r="B356" s="10" t="s">
        <v>435</v>
      </c>
      <c r="C356" s="64">
        <v>28.474</v>
      </c>
      <c r="D356" s="64">
        <v>77.504</v>
      </c>
      <c r="E356" s="50">
        <f t="shared" si="36"/>
        <v>32.91679674</v>
      </c>
      <c r="F356" s="53" t="str">
        <f t="shared" si="37"/>
        <v>inside</v>
      </c>
    </row>
    <row r="357" ht="15.75" customHeight="1">
      <c r="B357" s="10" t="s">
        <v>436</v>
      </c>
      <c r="C357" s="64">
        <v>28.993</v>
      </c>
      <c r="D357" s="64">
        <v>77.016</v>
      </c>
      <c r="E357" s="50">
        <f t="shared" si="36"/>
        <v>44.74931258</v>
      </c>
      <c r="F357" s="53" t="str">
        <f t="shared" si="37"/>
        <v>inside</v>
      </c>
    </row>
    <row r="358" ht="15.75" customHeight="1">
      <c r="B358" s="10" t="s">
        <v>437</v>
      </c>
      <c r="C358" s="64">
        <v>28.144</v>
      </c>
      <c r="D358" s="64">
        <v>77.329</v>
      </c>
      <c r="E358" s="50">
        <f t="shared" si="36"/>
        <v>55.31975772</v>
      </c>
      <c r="F358" s="53" t="str">
        <f t="shared" si="37"/>
        <v>inside</v>
      </c>
    </row>
    <row r="359" ht="15.75" customHeight="1">
      <c r="B359" s="10" t="s">
        <v>438</v>
      </c>
      <c r="C359" s="64">
        <v>28.73</v>
      </c>
      <c r="D359" s="64">
        <v>77.776</v>
      </c>
      <c r="E359" s="50">
        <f t="shared" si="36"/>
        <v>55.41827975</v>
      </c>
      <c r="F359" s="53" t="str">
        <f t="shared" si="37"/>
        <v>inside</v>
      </c>
    </row>
    <row r="360" ht="15.75" customHeight="1">
      <c r="B360" s="10" t="s">
        <v>439</v>
      </c>
      <c r="C360" s="64">
        <v>28.984</v>
      </c>
      <c r="D360" s="64">
        <v>77.706</v>
      </c>
      <c r="E360" s="50">
        <f t="shared" si="36"/>
        <v>61.50998847</v>
      </c>
      <c r="F360" s="53" t="str">
        <f t="shared" si="37"/>
        <v>inside</v>
      </c>
    </row>
    <row r="361" ht="15.75" customHeight="1">
      <c r="B361" s="10" t="s">
        <v>440</v>
      </c>
      <c r="C361" s="64">
        <v>28.895</v>
      </c>
      <c r="D361" s="64">
        <v>76.607</v>
      </c>
      <c r="E361" s="50">
        <f t="shared" si="36"/>
        <v>66.43709704</v>
      </c>
      <c r="F361" s="53" t="str">
        <f t="shared" si="37"/>
        <v>inside</v>
      </c>
    </row>
    <row r="362" ht="15.75" customHeight="1">
      <c r="B362" s="10" t="s">
        <v>441</v>
      </c>
      <c r="C362" s="64">
        <v>28.407</v>
      </c>
      <c r="D362" s="64">
        <v>77.849</v>
      </c>
      <c r="E362" s="50">
        <f t="shared" si="36"/>
        <v>66.44246791</v>
      </c>
      <c r="F362" s="53" t="str">
        <f t="shared" si="37"/>
        <v>inside</v>
      </c>
    </row>
    <row r="363" ht="15.75" customHeight="1">
      <c r="B363" s="10" t="s">
        <v>442</v>
      </c>
      <c r="C363" s="64">
        <v>28.199</v>
      </c>
      <c r="D363" s="64">
        <v>76.619</v>
      </c>
      <c r="E363" s="50">
        <f t="shared" si="36"/>
        <v>75.90353417</v>
      </c>
      <c r="F363" s="53" t="str">
        <f t="shared" si="37"/>
        <v>outside</v>
      </c>
    </row>
    <row r="364" ht="15.75" customHeight="1">
      <c r="B364" s="10" t="s">
        <v>443</v>
      </c>
      <c r="C364" s="64">
        <v>29.391</v>
      </c>
      <c r="D364" s="64">
        <v>76.97</v>
      </c>
      <c r="E364" s="50">
        <f t="shared" si="36"/>
        <v>87.80156985</v>
      </c>
      <c r="F364" s="53" t="str">
        <f t="shared" si="37"/>
        <v>outside</v>
      </c>
    </row>
    <row r="365" ht="15.75" customHeight="1">
      <c r="B365" s="10" t="s">
        <v>444</v>
      </c>
      <c r="C365" s="64">
        <v>29.686</v>
      </c>
      <c r="D365" s="64">
        <v>76.99</v>
      </c>
      <c r="E365" s="50">
        <f t="shared" si="36"/>
        <v>119.2902068</v>
      </c>
      <c r="F365" s="53" t="str">
        <f t="shared" si="37"/>
        <v>outside</v>
      </c>
    </row>
    <row r="366" ht="15.75" customHeight="1">
      <c r="B366" s="10" t="s">
        <v>445</v>
      </c>
      <c r="C366" s="64">
        <v>27.553</v>
      </c>
      <c r="D366" s="64">
        <v>76.635</v>
      </c>
      <c r="E366" s="50">
        <f t="shared" si="36"/>
        <v>132.9537523</v>
      </c>
      <c r="F366" s="53" t="str">
        <f t="shared" si="37"/>
        <v>outside</v>
      </c>
    </row>
    <row r="367" ht="15.75" customHeight="1">
      <c r="B367" s="14" t="s">
        <v>446</v>
      </c>
      <c r="F367" s="71" t="str">
        <f>COUNTIF(F351:F366,"inside")&amp;" of "&amp;COUNTA(B351:B366)</f>
        <v>12 of 16</v>
      </c>
    </row>
    <row r="368" ht="15.75" customHeight="1">
      <c r="B368" s="14" t="s">
        <v>448</v>
      </c>
      <c r="F368" s="53" t="str">
        <f t="array" ref="F368">INDEX(B351:B366,MATCH(MAXIFS(E351:E366,E351:E366,"&lt;="&amp;$C$49),E351:E366,0))</f>
        <v>Bulandshahr</v>
      </c>
    </row>
    <row r="369" ht="15.75" customHeight="1">
      <c r="B369" s="14" t="s">
        <v>450</v>
      </c>
      <c r="F369" s="54">
        <f>PI()*$C$49^2</f>
        <v>15393.804</v>
      </c>
    </row>
    <row r="370" ht="15.75" customHeight="1"/>
    <row r="371" ht="15.75" customHeight="1"/>
    <row r="372" ht="15.75" customHeight="1"/>
    <row r="373" ht="21.75" customHeight="1">
      <c r="B373" s="3" t="s">
        <v>452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/>
    <row r="375" ht="30.0" customHeight="1">
      <c r="B375" s="6" t="s">
        <v>210</v>
      </c>
      <c r="C375" s="6" t="s">
        <v>161</v>
      </c>
      <c r="D375" s="6" t="s">
        <v>151</v>
      </c>
      <c r="E375" s="6" t="s">
        <v>152</v>
      </c>
      <c r="F375" s="6" t="s">
        <v>211</v>
      </c>
      <c r="G375" s="6" t="s">
        <v>162</v>
      </c>
      <c r="H375" s="6" t="s">
        <v>163</v>
      </c>
      <c r="I375" s="6" t="s">
        <v>164</v>
      </c>
    </row>
    <row r="376" ht="15.75" customHeight="1">
      <c r="B376" s="10" t="s">
        <v>456</v>
      </c>
      <c r="C376" s="10" t="s">
        <v>169</v>
      </c>
      <c r="D376" s="49">
        <v>15.0</v>
      </c>
      <c r="E376" s="51">
        <v>50.0</v>
      </c>
      <c r="F376" s="27">
        <v>11.786</v>
      </c>
      <c r="G376" s="27">
        <v>20.476</v>
      </c>
      <c r="H376" s="27">
        <v>20.524</v>
      </c>
      <c r="I376" s="27">
        <v>29.81</v>
      </c>
    </row>
    <row r="377" ht="15.75" customHeight="1">
      <c r="B377" s="10" t="s">
        <v>457</v>
      </c>
      <c r="C377" s="10" t="s">
        <v>181</v>
      </c>
      <c r="D377" s="49">
        <v>13.0</v>
      </c>
      <c r="E377" s="51">
        <v>30.0</v>
      </c>
      <c r="F377" s="27">
        <v>43.179</v>
      </c>
      <c r="G377" s="27">
        <v>62.974</v>
      </c>
      <c r="H377" s="27">
        <v>72.436</v>
      </c>
      <c r="I377" s="27">
        <v>72.436</v>
      </c>
    </row>
    <row r="378" ht="15.75" customHeight="1">
      <c r="B378" s="10" t="s">
        <v>458</v>
      </c>
      <c r="C378" s="10" t="s">
        <v>181</v>
      </c>
      <c r="D378" s="49">
        <v>10.0</v>
      </c>
      <c r="E378" s="51">
        <v>40.0</v>
      </c>
      <c r="F378" s="27">
        <v>23.296</v>
      </c>
      <c r="G378" s="27">
        <v>50.926</v>
      </c>
      <c r="H378" s="27">
        <v>50.926</v>
      </c>
      <c r="I378" s="27">
        <v>50.926</v>
      </c>
    </row>
    <row r="379" ht="15.75" customHeight="1">
      <c r="B379" s="10" t="s">
        <v>459</v>
      </c>
      <c r="C379" s="10" t="s">
        <v>172</v>
      </c>
      <c r="D379" s="49">
        <v>16.0</v>
      </c>
      <c r="E379" s="51">
        <v>30.0</v>
      </c>
      <c r="F379" s="27">
        <v>63.878</v>
      </c>
      <c r="G379" s="27">
        <v>73.563</v>
      </c>
      <c r="H379" s="27">
        <v>73.498</v>
      </c>
      <c r="I379" s="27">
        <v>73.549</v>
      </c>
    </row>
    <row r="380" ht="15.75" customHeight="1">
      <c r="B380" s="10" t="s">
        <v>460</v>
      </c>
      <c r="C380" s="10" t="s">
        <v>169</v>
      </c>
      <c r="D380" s="49">
        <v>33.0</v>
      </c>
      <c r="E380" s="51">
        <v>25.0</v>
      </c>
      <c r="F380" s="27">
        <v>72.656</v>
      </c>
      <c r="G380" s="27">
        <v>76.781</v>
      </c>
      <c r="H380" s="27">
        <v>84.729</v>
      </c>
      <c r="I380" s="27">
        <v>85.083</v>
      </c>
    </row>
    <row r="381" ht="15.75" customHeight="1">
      <c r="B381" s="10" t="s">
        <v>461</v>
      </c>
      <c r="C381" s="10" t="s">
        <v>172</v>
      </c>
      <c r="D381" s="49">
        <v>10.0</v>
      </c>
      <c r="E381" s="51">
        <v>30.0</v>
      </c>
      <c r="F381" s="27">
        <v>16.367</v>
      </c>
      <c r="G381" s="27">
        <v>28.4</v>
      </c>
      <c r="H381" s="27">
        <v>28.4</v>
      </c>
      <c r="I381" s="27">
        <v>40.733</v>
      </c>
    </row>
    <row r="382" ht="15.75" customHeight="1">
      <c r="B382" s="10" t="s">
        <v>462</v>
      </c>
      <c r="C382" s="10" t="s">
        <v>176</v>
      </c>
      <c r="D382" s="49">
        <v>10.0</v>
      </c>
      <c r="E382" s="51">
        <v>25.0</v>
      </c>
      <c r="F382" s="27">
        <v>41.167</v>
      </c>
      <c r="G382" s="27">
        <v>41.167</v>
      </c>
      <c r="H382" s="27">
        <v>41.167</v>
      </c>
      <c r="I382" s="27">
        <v>41.167</v>
      </c>
    </row>
    <row r="383" ht="15.75" customHeight="1">
      <c r="B383" s="10" t="s">
        <v>463</v>
      </c>
      <c r="C383" s="10" t="s">
        <v>179</v>
      </c>
      <c r="D383" s="49">
        <v>19.0</v>
      </c>
      <c r="E383" s="51">
        <v>75.0</v>
      </c>
      <c r="F383" s="27">
        <v>32.456</v>
      </c>
      <c r="G383" s="27">
        <v>65.684</v>
      </c>
      <c r="H383" s="27">
        <v>85.263</v>
      </c>
      <c r="I383" s="27">
        <v>91.947</v>
      </c>
    </row>
    <row r="384" ht="15.75" customHeight="1">
      <c r="B384" s="10" t="s">
        <v>464</v>
      </c>
      <c r="C384" s="10" t="s">
        <v>166</v>
      </c>
      <c r="D384" s="49">
        <v>17.0</v>
      </c>
      <c r="E384" s="51">
        <v>60.0</v>
      </c>
      <c r="F384" s="27">
        <v>22.964</v>
      </c>
      <c r="G384" s="27">
        <v>50.431</v>
      </c>
      <c r="H384" s="27">
        <v>60.824</v>
      </c>
      <c r="I384" s="27">
        <v>68.471</v>
      </c>
    </row>
    <row r="385" ht="15.75" customHeight="1">
      <c r="B385" s="10" t="s">
        <v>465</v>
      </c>
      <c r="C385" s="10" t="s">
        <v>171</v>
      </c>
      <c r="D385" s="49">
        <v>30.0</v>
      </c>
      <c r="E385" s="51">
        <v>50.0</v>
      </c>
      <c r="F385" s="27">
        <v>29.111</v>
      </c>
      <c r="G385" s="27">
        <v>50.111</v>
      </c>
      <c r="H385" s="27">
        <v>50.111</v>
      </c>
      <c r="I385" s="27">
        <v>50.356</v>
      </c>
    </row>
    <row r="386" ht="15.75" customHeight="1">
      <c r="B386" s="10" t="s">
        <v>467</v>
      </c>
      <c r="C386" s="10" t="s">
        <v>170</v>
      </c>
      <c r="D386" s="49">
        <v>12.0</v>
      </c>
      <c r="E386" s="51">
        <v>40.0</v>
      </c>
      <c r="F386" s="27">
        <v>33.639</v>
      </c>
      <c r="G386" s="27">
        <v>68.358</v>
      </c>
      <c r="H386" s="27">
        <v>79.889</v>
      </c>
      <c r="I386" s="27">
        <v>79.889</v>
      </c>
    </row>
    <row r="387" ht="15.75" customHeight="1">
      <c r="B387" s="10" t="s">
        <v>468</v>
      </c>
      <c r="C387" s="10" t="s">
        <v>469</v>
      </c>
      <c r="D387" s="49">
        <v>40.0</v>
      </c>
      <c r="E387" s="51">
        <v>60.0</v>
      </c>
      <c r="F387" s="27">
        <v>48.125</v>
      </c>
      <c r="G387" s="27">
        <v>61.217</v>
      </c>
      <c r="H387" s="27">
        <v>64.408</v>
      </c>
      <c r="I387" s="27">
        <v>64.683</v>
      </c>
    </row>
    <row r="388" ht="15.75" customHeight="1">
      <c r="B388" s="10" t="s">
        <v>472</v>
      </c>
      <c r="C388" s="10" t="s">
        <v>179</v>
      </c>
      <c r="D388" s="49">
        <v>22.0</v>
      </c>
      <c r="E388" s="51">
        <v>50.0</v>
      </c>
      <c r="F388" s="27">
        <v>45.939</v>
      </c>
      <c r="G388" s="27">
        <v>68.288</v>
      </c>
      <c r="H388" s="27">
        <v>73.985</v>
      </c>
      <c r="I388" s="27">
        <v>80.227</v>
      </c>
    </row>
    <row r="389" ht="15.75" customHeight="1">
      <c r="B389" s="10" t="s">
        <v>474</v>
      </c>
      <c r="C389" s="10" t="s">
        <v>174</v>
      </c>
      <c r="D389" s="49">
        <v>17.0</v>
      </c>
      <c r="E389" s="51">
        <v>20.0</v>
      </c>
      <c r="F389" s="27">
        <v>29.12</v>
      </c>
      <c r="G389" s="27">
        <v>28.848</v>
      </c>
      <c r="H389" s="27">
        <v>28.911</v>
      </c>
      <c r="I389" s="27">
        <v>29.312</v>
      </c>
    </row>
    <row r="390" ht="15.75" customHeight="1">
      <c r="B390" s="10" t="s">
        <v>477</v>
      </c>
      <c r="C390" s="10" t="s">
        <v>181</v>
      </c>
      <c r="D390" s="49">
        <v>12.0</v>
      </c>
      <c r="E390" s="51">
        <v>40.0</v>
      </c>
      <c r="F390" s="27">
        <v>29.639</v>
      </c>
      <c r="G390" s="27">
        <v>70.639</v>
      </c>
      <c r="H390" s="27">
        <v>70.639</v>
      </c>
      <c r="I390" s="27">
        <v>71.167</v>
      </c>
    </row>
    <row r="391" ht="15.75" customHeight="1">
      <c r="B391" s="10" t="s">
        <v>478</v>
      </c>
      <c r="C391" s="10" t="s">
        <v>172</v>
      </c>
      <c r="D391" s="49">
        <v>10.0</v>
      </c>
      <c r="E391" s="51">
        <v>40.0</v>
      </c>
      <c r="F391" s="27">
        <v>16.233</v>
      </c>
      <c r="G391" s="27">
        <v>40.733</v>
      </c>
      <c r="H391" s="27">
        <v>53.333</v>
      </c>
      <c r="I391" s="27">
        <v>78.767</v>
      </c>
    </row>
    <row r="392" ht="15.75" customHeight="1">
      <c r="B392" s="10" t="s">
        <v>479</v>
      </c>
      <c r="C392" s="10" t="s">
        <v>182</v>
      </c>
      <c r="D392" s="49">
        <v>10.0</v>
      </c>
      <c r="E392" s="51">
        <v>20.0</v>
      </c>
      <c r="F392" s="27">
        <v>16.1</v>
      </c>
      <c r="G392" s="27">
        <v>16.1</v>
      </c>
      <c r="H392" s="27">
        <v>16.433</v>
      </c>
      <c r="I392" s="27">
        <v>16.933</v>
      </c>
    </row>
    <row r="393" ht="15.75" customHeight="1">
      <c r="B393" s="10" t="s">
        <v>485</v>
      </c>
      <c r="C393" s="10" t="s">
        <v>174</v>
      </c>
      <c r="D393" s="49">
        <v>10.0</v>
      </c>
      <c r="E393" s="51">
        <v>75.0</v>
      </c>
      <c r="F393" s="27">
        <v>16.5</v>
      </c>
      <c r="G393" s="27">
        <v>16.5</v>
      </c>
      <c r="H393" s="27">
        <v>29.233</v>
      </c>
      <c r="I393" s="27">
        <v>41.333</v>
      </c>
    </row>
    <row r="394" ht="15.75" customHeight="1">
      <c r="B394" s="10" t="s">
        <v>488</v>
      </c>
      <c r="C394" s="10" t="s">
        <v>166</v>
      </c>
      <c r="D394" s="49">
        <v>63.0</v>
      </c>
      <c r="E394" s="51">
        <v>50.0</v>
      </c>
      <c r="F394" s="27">
        <v>62.677</v>
      </c>
      <c r="G394" s="27">
        <v>81.243</v>
      </c>
      <c r="H394" s="27">
        <v>85.439</v>
      </c>
      <c r="I394" s="27">
        <v>85.693</v>
      </c>
    </row>
    <row r="395" ht="15.75" customHeight="1">
      <c r="B395" s="10" t="s">
        <v>489</v>
      </c>
      <c r="C395" s="10" t="s">
        <v>167</v>
      </c>
      <c r="D395" s="49">
        <v>19.0</v>
      </c>
      <c r="E395" s="51">
        <v>40.0</v>
      </c>
      <c r="F395" s="27">
        <v>67.024</v>
      </c>
      <c r="G395" s="27">
        <v>76.566</v>
      </c>
      <c r="H395" s="27">
        <v>75.62</v>
      </c>
      <c r="I395" s="27">
        <v>83.07</v>
      </c>
    </row>
    <row r="396" ht="15.75" customHeight="1">
      <c r="B396" s="10" t="s">
        <v>490</v>
      </c>
      <c r="C396" s="10" t="s">
        <v>182</v>
      </c>
      <c r="D396" s="49">
        <v>16.0</v>
      </c>
      <c r="E396" s="51">
        <v>40.0</v>
      </c>
      <c r="F396" s="27">
        <v>51.833</v>
      </c>
      <c r="G396" s="27">
        <v>68.146</v>
      </c>
      <c r="H396" s="27">
        <v>84.417</v>
      </c>
      <c r="I396" s="27">
        <v>85.354</v>
      </c>
    </row>
    <row r="397" ht="15.75" customHeight="1">
      <c r="B397" s="10" t="s">
        <v>491</v>
      </c>
      <c r="C397" s="10" t="s">
        <v>175</v>
      </c>
      <c r="D397" s="49">
        <v>12.0</v>
      </c>
      <c r="E397" s="51">
        <v>60.0</v>
      </c>
      <c r="F397" s="27">
        <v>23.364</v>
      </c>
      <c r="G397" s="27">
        <v>34.788</v>
      </c>
      <c r="H397" s="27">
        <v>46.03</v>
      </c>
      <c r="I397" s="27">
        <v>57.091</v>
      </c>
    </row>
    <row r="398" ht="15.75" customHeight="1">
      <c r="B398" s="10" t="s">
        <v>492</v>
      </c>
      <c r="C398" s="10" t="s">
        <v>493</v>
      </c>
      <c r="D398" s="49">
        <v>12.0</v>
      </c>
      <c r="E398" s="51">
        <v>50.0</v>
      </c>
      <c r="F398" s="27">
        <v>60.806</v>
      </c>
      <c r="G398" s="27">
        <v>82.0</v>
      </c>
      <c r="H398" s="27">
        <v>82.0</v>
      </c>
      <c r="I398" s="27">
        <v>82.833</v>
      </c>
    </row>
    <row r="399" ht="15.75" customHeight="1">
      <c r="B399" s="10" t="s">
        <v>494</v>
      </c>
      <c r="C399" s="10" t="s">
        <v>183</v>
      </c>
      <c r="D399" s="49">
        <v>10.0</v>
      </c>
      <c r="E399" s="51">
        <v>60.0</v>
      </c>
      <c r="F399" s="27">
        <v>48.433</v>
      </c>
      <c r="G399" s="27">
        <v>48.852</v>
      </c>
      <c r="H399" s="27">
        <v>63.862</v>
      </c>
      <c r="I399" s="27">
        <v>93.047</v>
      </c>
    </row>
    <row r="400" ht="15.75" customHeight="1">
      <c r="B400" s="10" t="s">
        <v>495</v>
      </c>
      <c r="C400" s="10" t="s">
        <v>174</v>
      </c>
      <c r="D400" s="49">
        <v>16.0</v>
      </c>
      <c r="E400" s="51">
        <v>25.0</v>
      </c>
      <c r="F400" s="27">
        <v>43.533</v>
      </c>
      <c r="G400" s="27">
        <v>50.321</v>
      </c>
      <c r="H400" s="27">
        <v>60.03</v>
      </c>
      <c r="I400" s="27">
        <v>70.289</v>
      </c>
    </row>
    <row r="401" ht="15.75" customHeight="1">
      <c r="B401" s="10" t="s">
        <v>496</v>
      </c>
      <c r="C401" s="10" t="s">
        <v>172</v>
      </c>
      <c r="D401" s="49">
        <v>14.0</v>
      </c>
      <c r="E401" s="51">
        <v>100.0</v>
      </c>
      <c r="F401" s="27">
        <v>46.333</v>
      </c>
      <c r="G401" s="27">
        <v>47.476</v>
      </c>
      <c r="H401" s="27">
        <v>74.0</v>
      </c>
      <c r="I401" s="27">
        <v>74.31</v>
      </c>
    </row>
    <row r="402" ht="15.75" customHeight="1">
      <c r="B402" s="10" t="s">
        <v>497</v>
      </c>
      <c r="C402" s="10" t="s">
        <v>166</v>
      </c>
      <c r="D402" s="49">
        <v>30.0</v>
      </c>
      <c r="E402" s="51">
        <v>40.0</v>
      </c>
      <c r="F402" s="27">
        <v>86.542</v>
      </c>
      <c r="G402" s="27">
        <v>92.727</v>
      </c>
      <c r="H402" s="27">
        <v>92.809</v>
      </c>
      <c r="I402" s="27">
        <v>92.847</v>
      </c>
    </row>
    <row r="403" ht="15.75" customHeight="1">
      <c r="B403" s="10" t="s">
        <v>498</v>
      </c>
      <c r="C403" s="10" t="s">
        <v>185</v>
      </c>
      <c r="D403" s="49">
        <v>12.0</v>
      </c>
      <c r="E403" s="51">
        <v>150.0</v>
      </c>
      <c r="F403" s="27">
        <v>19.0</v>
      </c>
      <c r="G403" s="27">
        <v>19.167</v>
      </c>
      <c r="H403" s="27">
        <v>40.472</v>
      </c>
      <c r="I403" s="27">
        <v>60.694</v>
      </c>
    </row>
    <row r="404" ht="15.75" customHeight="1">
      <c r="B404" s="10" t="s">
        <v>500</v>
      </c>
      <c r="C404" s="10" t="s">
        <v>181</v>
      </c>
      <c r="D404" s="49">
        <v>23.0</v>
      </c>
      <c r="E404" s="51">
        <v>50.0</v>
      </c>
      <c r="F404" s="27">
        <v>42.696</v>
      </c>
      <c r="G404" s="27">
        <v>69.411</v>
      </c>
      <c r="H404" s="27">
        <v>75.718</v>
      </c>
      <c r="I404" s="27">
        <v>87.545</v>
      </c>
    </row>
    <row r="405" ht="15.75" customHeight="1">
      <c r="B405" s="10" t="s">
        <v>502</v>
      </c>
      <c r="C405" s="10" t="s">
        <v>171</v>
      </c>
      <c r="D405" s="49">
        <v>17.0</v>
      </c>
      <c r="E405" s="51">
        <v>50.0</v>
      </c>
      <c r="F405" s="27">
        <v>63.559</v>
      </c>
      <c r="G405" s="27">
        <v>81.283</v>
      </c>
      <c r="H405" s="27">
        <v>81.308</v>
      </c>
      <c r="I405" s="27">
        <v>91.961</v>
      </c>
    </row>
    <row r="406" ht="15.75" customHeight="1">
      <c r="B406" s="10" t="s">
        <v>503</v>
      </c>
      <c r="C406" s="10" t="s">
        <v>181</v>
      </c>
      <c r="D406" s="49">
        <v>13.0</v>
      </c>
      <c r="E406" s="51">
        <v>125.0</v>
      </c>
      <c r="F406" s="27">
        <v>13.231</v>
      </c>
      <c r="G406" s="27">
        <v>53.051</v>
      </c>
      <c r="H406" s="27">
        <v>62.974</v>
      </c>
      <c r="I406" s="27">
        <v>82.769</v>
      </c>
    </row>
    <row r="407" ht="15.75" customHeight="1">
      <c r="B407" s="10" t="s">
        <v>507</v>
      </c>
      <c r="C407" s="10" t="s">
        <v>166</v>
      </c>
      <c r="D407" s="49">
        <v>10.0</v>
      </c>
      <c r="E407" s="51">
        <v>125.0</v>
      </c>
      <c r="F407" s="27">
        <v>-18.25</v>
      </c>
      <c r="G407" s="27">
        <v>-18.25</v>
      </c>
      <c r="H407" s="27">
        <v>-20.9</v>
      </c>
      <c r="I407" s="27">
        <v>23.922</v>
      </c>
    </row>
    <row r="408" ht="15.75" customHeight="1">
      <c r="B408" s="10" t="s">
        <v>509</v>
      </c>
      <c r="C408" s="10" t="s">
        <v>169</v>
      </c>
      <c r="D408" s="49">
        <v>11.0</v>
      </c>
      <c r="E408" s="51">
        <v>75.0</v>
      </c>
      <c r="F408" s="27">
        <v>0.152</v>
      </c>
      <c r="G408" s="27">
        <v>34.515</v>
      </c>
      <c r="H408" s="27">
        <v>68.03</v>
      </c>
      <c r="I408" s="27">
        <v>68.03</v>
      </c>
    </row>
    <row r="409" ht="15.75" customHeight="1">
      <c r="B409" s="10" t="s">
        <v>510</v>
      </c>
      <c r="C409" s="10" t="s">
        <v>170</v>
      </c>
      <c r="D409" s="49">
        <v>10.0</v>
      </c>
      <c r="E409" s="51">
        <v>50.0</v>
      </c>
      <c r="F409" s="27">
        <v>20.086</v>
      </c>
      <c r="G409" s="27">
        <v>76.606</v>
      </c>
      <c r="H409" s="27">
        <v>76.606</v>
      </c>
      <c r="I409" s="27">
        <v>76.427</v>
      </c>
    </row>
    <row r="410" ht="15.75" customHeight="1">
      <c r="B410" s="10" t="s">
        <v>512</v>
      </c>
      <c r="C410" s="10" t="s">
        <v>182</v>
      </c>
      <c r="D410" s="49">
        <v>11.0</v>
      </c>
      <c r="E410" s="51">
        <v>40.0</v>
      </c>
      <c r="F410" s="27">
        <v>24.152</v>
      </c>
      <c r="G410" s="27">
        <v>47.0</v>
      </c>
      <c r="H410" s="27">
        <v>47.242</v>
      </c>
      <c r="I410" s="27">
        <v>58.242</v>
      </c>
    </row>
    <row r="411" ht="15.75" customHeight="1">
      <c r="B411" s="10" t="s">
        <v>514</v>
      </c>
      <c r="C411" s="10" t="s">
        <v>166</v>
      </c>
      <c r="D411" s="49">
        <v>16.0</v>
      </c>
      <c r="E411" s="51">
        <v>75.0</v>
      </c>
      <c r="F411" s="27">
        <v>46.271</v>
      </c>
      <c r="G411" s="27">
        <v>54.375</v>
      </c>
      <c r="H411" s="27">
        <v>70.375</v>
      </c>
      <c r="I411" s="27">
        <v>70.417</v>
      </c>
    </row>
    <row r="412" ht="15.75" customHeight="1">
      <c r="B412" s="10" t="s">
        <v>515</v>
      </c>
      <c r="C412" s="10" t="s">
        <v>169</v>
      </c>
      <c r="D412" s="49">
        <v>10.0</v>
      </c>
      <c r="E412" s="51">
        <v>60.0</v>
      </c>
      <c r="F412" s="27">
        <v>42.3</v>
      </c>
      <c r="G412" s="27">
        <v>42.3</v>
      </c>
      <c r="H412" s="27">
        <v>67.167</v>
      </c>
      <c r="I412" s="27">
        <v>67.233</v>
      </c>
    </row>
    <row r="413" ht="15.75" customHeight="1">
      <c r="B413" s="10" t="s">
        <v>517</v>
      </c>
      <c r="C413" s="10" t="s">
        <v>166</v>
      </c>
      <c r="D413" s="49">
        <v>45.0</v>
      </c>
      <c r="E413" s="51">
        <v>40.0</v>
      </c>
      <c r="F413" s="27">
        <v>67.643</v>
      </c>
      <c r="G413" s="27">
        <v>83.606</v>
      </c>
      <c r="H413" s="27">
        <v>87.068</v>
      </c>
      <c r="I413" s="27">
        <v>93.068</v>
      </c>
    </row>
    <row r="414" ht="15.75" customHeight="1">
      <c r="B414" s="10" t="s">
        <v>518</v>
      </c>
      <c r="C414" s="10" t="s">
        <v>182</v>
      </c>
      <c r="D414" s="49">
        <v>10.0</v>
      </c>
      <c r="E414" s="51">
        <v>25.0</v>
      </c>
      <c r="F414" s="27">
        <v>89.944</v>
      </c>
      <c r="G414" s="27">
        <v>91.556</v>
      </c>
      <c r="H414" s="27">
        <v>91.647</v>
      </c>
      <c r="I414" s="27">
        <v>92.211</v>
      </c>
    </row>
    <row r="415" ht="15.75" customHeight="1">
      <c r="B415" s="10" t="s">
        <v>519</v>
      </c>
      <c r="C415" s="10" t="s">
        <v>236</v>
      </c>
      <c r="D415" s="49">
        <v>45.0</v>
      </c>
      <c r="E415" s="51">
        <v>40.0</v>
      </c>
      <c r="F415" s="27">
        <v>65.504</v>
      </c>
      <c r="G415" s="27">
        <v>92.1</v>
      </c>
      <c r="H415" s="27">
        <v>92.484</v>
      </c>
      <c r="I415" s="27">
        <v>92.484</v>
      </c>
    </row>
    <row r="416" ht="15.75" customHeight="1">
      <c r="B416" s="10" t="s">
        <v>522</v>
      </c>
      <c r="C416" s="10" t="s">
        <v>169</v>
      </c>
      <c r="D416" s="49">
        <v>19.0</v>
      </c>
      <c r="E416" s="51">
        <v>40.0</v>
      </c>
      <c r="F416" s="27">
        <v>55.55</v>
      </c>
      <c r="G416" s="27">
        <v>69.671</v>
      </c>
      <c r="H416" s="27">
        <v>69.71</v>
      </c>
      <c r="I416" s="27">
        <v>84.283</v>
      </c>
    </row>
    <row r="417" ht="15.75" customHeight="1">
      <c r="B417" s="10" t="s">
        <v>525</v>
      </c>
      <c r="C417" s="10" t="s">
        <v>179</v>
      </c>
      <c r="D417" s="49">
        <v>47.0</v>
      </c>
      <c r="E417" s="51">
        <v>40.0</v>
      </c>
      <c r="F417" s="27">
        <v>60.128</v>
      </c>
      <c r="G417" s="27">
        <v>81.972</v>
      </c>
      <c r="H417" s="27">
        <v>90.39</v>
      </c>
      <c r="I417" s="27">
        <v>93.652</v>
      </c>
    </row>
    <row r="418" ht="15.75" customHeight="1">
      <c r="B418" s="10" t="s">
        <v>526</v>
      </c>
      <c r="C418" s="10" t="s">
        <v>174</v>
      </c>
      <c r="D418" s="49">
        <v>30.0</v>
      </c>
      <c r="E418" s="51">
        <v>40.0</v>
      </c>
      <c r="F418" s="27">
        <v>69.171</v>
      </c>
      <c r="G418" s="27">
        <v>79.878</v>
      </c>
      <c r="H418" s="27">
        <v>80.522</v>
      </c>
      <c r="I418" s="27">
        <v>80.722</v>
      </c>
    </row>
    <row r="419" ht="15.75" customHeight="1">
      <c r="B419" s="10" t="s">
        <v>528</v>
      </c>
      <c r="C419" s="10" t="s">
        <v>169</v>
      </c>
      <c r="D419" s="49">
        <v>11.0</v>
      </c>
      <c r="E419" s="51">
        <v>15.0</v>
      </c>
      <c r="F419" s="27">
        <v>-10.909</v>
      </c>
      <c r="G419" s="27">
        <v>-10.788</v>
      </c>
      <c r="H419" s="27">
        <v>-10.788</v>
      </c>
      <c r="I419" s="27">
        <v>-10.788</v>
      </c>
    </row>
    <row r="420" ht="15.75" customHeight="1">
      <c r="B420" s="10" t="s">
        <v>529</v>
      </c>
      <c r="C420" s="10" t="s">
        <v>179</v>
      </c>
      <c r="D420" s="49">
        <v>58.0</v>
      </c>
      <c r="E420" s="51">
        <v>40.0</v>
      </c>
      <c r="F420" s="27">
        <v>75.333</v>
      </c>
      <c r="G420" s="27">
        <v>89.61</v>
      </c>
      <c r="H420" s="27">
        <v>92.192</v>
      </c>
      <c r="I420" s="27">
        <v>93.079</v>
      </c>
    </row>
    <row r="421" ht="15.75" customHeight="1">
      <c r="B421" s="10" t="s">
        <v>531</v>
      </c>
      <c r="C421" s="10" t="s">
        <v>167</v>
      </c>
      <c r="D421" s="49">
        <v>13.0</v>
      </c>
      <c r="E421" s="51">
        <v>40.0</v>
      </c>
      <c r="F421" s="27">
        <v>28.31</v>
      </c>
      <c r="G421" s="27">
        <v>70.223</v>
      </c>
      <c r="H421" s="27">
        <v>82.103</v>
      </c>
      <c r="I421" s="27">
        <v>82.308</v>
      </c>
    </row>
    <row r="422" ht="15.75" customHeight="1">
      <c r="B422" s="10" t="s">
        <v>536</v>
      </c>
      <c r="C422" s="10" t="s">
        <v>174</v>
      </c>
      <c r="D422" s="49">
        <v>42.0</v>
      </c>
      <c r="E422" s="51">
        <v>50.0</v>
      </c>
      <c r="F422" s="27">
        <v>67.042</v>
      </c>
      <c r="G422" s="27">
        <v>89.791</v>
      </c>
      <c r="H422" s="27">
        <v>93.349</v>
      </c>
      <c r="I422" s="27">
        <v>93.51</v>
      </c>
    </row>
    <row r="423" ht="15.75" customHeight="1">
      <c r="B423" s="10" t="s">
        <v>540</v>
      </c>
      <c r="C423" s="10" t="s">
        <v>541</v>
      </c>
      <c r="D423" s="49">
        <v>17.0</v>
      </c>
      <c r="E423" s="51">
        <v>10.0</v>
      </c>
      <c r="F423" s="27">
        <v>48.431</v>
      </c>
      <c r="G423" s="27">
        <v>48.431</v>
      </c>
      <c r="H423" s="27">
        <v>48.431</v>
      </c>
      <c r="I423" s="27">
        <v>48.431</v>
      </c>
    </row>
    <row r="424" ht="15.75" customHeight="1">
      <c r="B424" s="10" t="s">
        <v>542</v>
      </c>
      <c r="C424" s="10" t="s">
        <v>174</v>
      </c>
      <c r="D424" s="49">
        <v>29.0</v>
      </c>
      <c r="E424" s="51">
        <v>40.0</v>
      </c>
      <c r="F424" s="27">
        <v>71.793</v>
      </c>
      <c r="G424" s="27">
        <v>85.0</v>
      </c>
      <c r="H424" s="27">
        <v>85.034</v>
      </c>
      <c r="I424" s="27">
        <v>89.402</v>
      </c>
    </row>
    <row r="425" ht="15.75" customHeight="1">
      <c r="B425" s="10" t="s">
        <v>543</v>
      </c>
      <c r="C425" s="10" t="s">
        <v>166</v>
      </c>
      <c r="D425" s="49">
        <v>35.0</v>
      </c>
      <c r="E425" s="51">
        <v>40.0</v>
      </c>
      <c r="F425" s="27">
        <v>75.264</v>
      </c>
      <c r="G425" s="27">
        <v>83.805</v>
      </c>
      <c r="H425" s="27">
        <v>83.816</v>
      </c>
      <c r="I425" s="27">
        <v>83.908</v>
      </c>
    </row>
    <row r="426" ht="15.75" customHeight="1">
      <c r="B426" s="10" t="s">
        <v>544</v>
      </c>
      <c r="C426" s="10" t="s">
        <v>182</v>
      </c>
      <c r="D426" s="49">
        <v>10.0</v>
      </c>
      <c r="E426" s="51">
        <v>50.0</v>
      </c>
      <c r="F426" s="27">
        <v>18.461</v>
      </c>
      <c r="G426" s="27">
        <v>72.35</v>
      </c>
      <c r="H426" s="27">
        <v>72.683</v>
      </c>
      <c r="I426" s="27">
        <v>91.067</v>
      </c>
    </row>
    <row r="427" ht="15.75" customHeight="1">
      <c r="B427" s="10" t="s">
        <v>545</v>
      </c>
      <c r="C427" s="10" t="s">
        <v>171</v>
      </c>
      <c r="D427" s="49">
        <v>23.0</v>
      </c>
      <c r="E427" s="51">
        <v>40.0</v>
      </c>
      <c r="F427" s="27">
        <v>55.755</v>
      </c>
      <c r="G427" s="27">
        <v>60.275</v>
      </c>
      <c r="H427" s="27">
        <v>60.362</v>
      </c>
      <c r="I427" s="27">
        <v>66.058</v>
      </c>
    </row>
    <row r="428" ht="15.75" customHeight="1">
      <c r="B428" s="10" t="s">
        <v>546</v>
      </c>
      <c r="C428" s="10" t="s">
        <v>179</v>
      </c>
      <c r="D428" s="49">
        <v>59.0</v>
      </c>
      <c r="E428" s="51">
        <v>30.0</v>
      </c>
      <c r="F428" s="27">
        <v>78.99</v>
      </c>
      <c r="G428" s="27">
        <v>83.94</v>
      </c>
      <c r="H428" s="27">
        <v>90.927</v>
      </c>
      <c r="I428" s="27">
        <v>93.66</v>
      </c>
    </row>
    <row r="429" ht="15.75" customHeight="1">
      <c r="B429" s="10" t="s">
        <v>547</v>
      </c>
      <c r="C429" s="10" t="s">
        <v>174</v>
      </c>
      <c r="D429" s="49">
        <v>18.0</v>
      </c>
      <c r="E429" s="51">
        <v>150.0</v>
      </c>
      <c r="F429" s="27">
        <v>29.815</v>
      </c>
      <c r="G429" s="27">
        <v>29.926</v>
      </c>
      <c r="H429" s="27">
        <v>44.241</v>
      </c>
      <c r="I429" s="27">
        <v>58.944</v>
      </c>
    </row>
    <row r="430" ht="15.75" customHeight="1">
      <c r="B430" s="10" t="s">
        <v>548</v>
      </c>
      <c r="C430" s="10" t="s">
        <v>175</v>
      </c>
      <c r="D430" s="49">
        <v>37.0</v>
      </c>
      <c r="E430" s="51">
        <v>100.0</v>
      </c>
      <c r="F430" s="27">
        <v>48.775</v>
      </c>
      <c r="G430" s="27">
        <v>62.649</v>
      </c>
      <c r="H430" s="27">
        <v>89.378</v>
      </c>
      <c r="I430" s="27">
        <v>92.901</v>
      </c>
    </row>
    <row r="431" ht="15.75" customHeight="1">
      <c r="B431" s="10" t="s">
        <v>549</v>
      </c>
      <c r="C431" s="10" t="s">
        <v>178</v>
      </c>
      <c r="D431" s="49">
        <v>10.0</v>
      </c>
      <c r="E431" s="51">
        <v>50.0</v>
      </c>
      <c r="F431" s="27">
        <v>16.933</v>
      </c>
      <c r="G431" s="27">
        <v>66.033</v>
      </c>
      <c r="H431" s="27">
        <v>66.033</v>
      </c>
      <c r="I431" s="27">
        <v>67.4</v>
      </c>
    </row>
    <row r="432" ht="15.75" customHeight="1">
      <c r="B432" s="10" t="s">
        <v>550</v>
      </c>
      <c r="C432" s="10" t="s">
        <v>171</v>
      </c>
      <c r="D432" s="49">
        <v>10.0</v>
      </c>
      <c r="E432" s="51">
        <v>40.0</v>
      </c>
      <c r="F432" s="27">
        <v>16.533</v>
      </c>
      <c r="G432" s="27">
        <v>54.067</v>
      </c>
      <c r="H432" s="27">
        <v>54.067</v>
      </c>
      <c r="I432" s="27">
        <v>66.833</v>
      </c>
    </row>
    <row r="433" ht="15.75" customHeight="1">
      <c r="B433" s="10" t="s">
        <v>551</v>
      </c>
      <c r="C433" s="10" t="s">
        <v>166</v>
      </c>
      <c r="D433" s="49">
        <v>37.0</v>
      </c>
      <c r="E433" s="51">
        <v>40.0</v>
      </c>
      <c r="F433" s="27">
        <v>76.48</v>
      </c>
      <c r="G433" s="27">
        <v>93.121</v>
      </c>
      <c r="H433" s="27">
        <v>93.308</v>
      </c>
      <c r="I433" s="27">
        <v>93.457</v>
      </c>
    </row>
    <row r="434" ht="15.75" customHeight="1">
      <c r="B434" s="10" t="s">
        <v>552</v>
      </c>
      <c r="C434" s="10" t="s">
        <v>167</v>
      </c>
      <c r="D434" s="49">
        <v>14.0</v>
      </c>
      <c r="E434" s="51">
        <v>50.0</v>
      </c>
      <c r="F434" s="27">
        <v>-15.643</v>
      </c>
      <c r="G434" s="27">
        <v>19.571</v>
      </c>
      <c r="H434" s="27">
        <v>19.667</v>
      </c>
      <c r="I434" s="27">
        <v>19.714</v>
      </c>
    </row>
    <row r="435" ht="15.75" customHeight="1">
      <c r="B435" s="10" t="s">
        <v>553</v>
      </c>
      <c r="C435" s="10" t="s">
        <v>171</v>
      </c>
      <c r="D435" s="49">
        <v>19.0</v>
      </c>
      <c r="E435" s="51">
        <v>125.0</v>
      </c>
      <c r="F435" s="27">
        <v>31.789</v>
      </c>
      <c r="G435" s="27">
        <v>39.088</v>
      </c>
      <c r="H435" s="27">
        <v>58.737</v>
      </c>
      <c r="I435" s="27">
        <v>72.351</v>
      </c>
    </row>
    <row r="436" ht="15.75" customHeight="1">
      <c r="B436" s="10" t="s">
        <v>554</v>
      </c>
      <c r="C436" s="10" t="s">
        <v>166</v>
      </c>
      <c r="D436" s="49">
        <v>12.0</v>
      </c>
      <c r="E436" s="51">
        <v>30.0</v>
      </c>
      <c r="F436" s="27">
        <v>60.917</v>
      </c>
      <c r="G436" s="27">
        <v>71.472</v>
      </c>
      <c r="H436" s="27">
        <v>71.472</v>
      </c>
      <c r="I436" s="27">
        <v>71.472</v>
      </c>
    </row>
    <row r="437" ht="15.75" customHeight="1">
      <c r="B437" s="10" t="s">
        <v>555</v>
      </c>
      <c r="C437" s="10" t="s">
        <v>181</v>
      </c>
      <c r="D437" s="49">
        <v>15.0</v>
      </c>
      <c r="E437" s="51">
        <v>30.0</v>
      </c>
      <c r="F437" s="27">
        <v>-8.778</v>
      </c>
      <c r="G437" s="27">
        <v>-0.311</v>
      </c>
      <c r="H437" s="27">
        <v>8.133</v>
      </c>
      <c r="I437" s="27">
        <v>25.178</v>
      </c>
    </row>
    <row r="438" ht="15.75" customHeight="1">
      <c r="B438" s="10" t="s">
        <v>556</v>
      </c>
      <c r="C438" s="10" t="s">
        <v>228</v>
      </c>
      <c r="D438" s="49">
        <v>10.0</v>
      </c>
      <c r="E438" s="51">
        <v>40.0</v>
      </c>
      <c r="F438" s="27">
        <v>30.267</v>
      </c>
      <c r="G438" s="27">
        <v>55.333</v>
      </c>
      <c r="H438" s="27">
        <v>55.333</v>
      </c>
      <c r="I438" s="27">
        <v>67.467</v>
      </c>
    </row>
    <row r="439" ht="15.75" customHeight="1">
      <c r="B439" s="10" t="s">
        <v>557</v>
      </c>
      <c r="C439" s="10" t="s">
        <v>175</v>
      </c>
      <c r="D439" s="49">
        <v>10.0</v>
      </c>
      <c r="E439" s="51">
        <v>25.0</v>
      </c>
      <c r="F439" s="27">
        <v>16.7</v>
      </c>
      <c r="G439" s="27">
        <v>16.933</v>
      </c>
      <c r="H439" s="27">
        <v>29.233</v>
      </c>
      <c r="I439" s="27">
        <v>78.4</v>
      </c>
    </row>
    <row r="440" ht="15.75" customHeight="1">
      <c r="B440" s="10" t="s">
        <v>558</v>
      </c>
      <c r="C440" s="10" t="s">
        <v>175</v>
      </c>
      <c r="D440" s="49">
        <v>13.0</v>
      </c>
      <c r="E440" s="51">
        <v>25.0</v>
      </c>
      <c r="F440" s="27">
        <v>48.604</v>
      </c>
      <c r="G440" s="27">
        <v>48.604</v>
      </c>
      <c r="H440" s="27">
        <v>48.656</v>
      </c>
      <c r="I440" s="27">
        <v>48.656</v>
      </c>
    </row>
    <row r="441" ht="15.75" customHeight="1">
      <c r="B441" s="10" t="s">
        <v>559</v>
      </c>
      <c r="C441" s="10" t="s">
        <v>167</v>
      </c>
      <c r="D441" s="49">
        <v>17.0</v>
      </c>
      <c r="E441" s="51">
        <v>60.0</v>
      </c>
      <c r="F441" s="27">
        <v>39.51</v>
      </c>
      <c r="G441" s="27">
        <v>61.686</v>
      </c>
      <c r="H441" s="27">
        <v>76.725</v>
      </c>
      <c r="I441" s="27">
        <v>84.882</v>
      </c>
    </row>
    <row r="442" ht="15.75" customHeight="1">
      <c r="B442" s="10" t="s">
        <v>560</v>
      </c>
      <c r="C442" s="10" t="s">
        <v>561</v>
      </c>
      <c r="D442" s="49">
        <v>35.0</v>
      </c>
      <c r="E442" s="51">
        <v>50.0</v>
      </c>
      <c r="F442" s="27">
        <v>81.223</v>
      </c>
      <c r="G442" s="27">
        <v>93.042</v>
      </c>
      <c r="H442" s="27">
        <v>93.164</v>
      </c>
      <c r="I442" s="27">
        <v>93.374</v>
      </c>
    </row>
    <row r="443" ht="15.75" customHeight="1">
      <c r="B443" s="10" t="s">
        <v>562</v>
      </c>
      <c r="C443" s="10" t="s">
        <v>166</v>
      </c>
      <c r="D443" s="49">
        <v>10.0</v>
      </c>
      <c r="E443" s="51">
        <v>25.0</v>
      </c>
      <c r="F443" s="27">
        <v>16.967</v>
      </c>
      <c r="G443" s="27">
        <v>17.333</v>
      </c>
      <c r="H443" s="27">
        <v>17.467</v>
      </c>
      <c r="I443" s="27">
        <v>17.467</v>
      </c>
    </row>
    <row r="444" ht="15.75" customHeight="1">
      <c r="B444" s="10" t="s">
        <v>563</v>
      </c>
      <c r="C444" s="10" t="s">
        <v>179</v>
      </c>
      <c r="D444" s="49">
        <v>49.0</v>
      </c>
      <c r="E444" s="51">
        <v>40.0</v>
      </c>
      <c r="F444" s="27">
        <v>63.646</v>
      </c>
      <c r="G444" s="27">
        <v>87.035</v>
      </c>
      <c r="H444" s="27">
        <v>89.931</v>
      </c>
      <c r="I444" s="27">
        <v>90.292</v>
      </c>
    </row>
    <row r="445" ht="15.75" customHeight="1">
      <c r="B445" s="10" t="s">
        <v>564</v>
      </c>
      <c r="C445" s="10" t="s">
        <v>171</v>
      </c>
      <c r="D445" s="49">
        <v>63.0</v>
      </c>
      <c r="E445" s="51">
        <v>30.0</v>
      </c>
      <c r="F445" s="27">
        <v>48.684</v>
      </c>
      <c r="G445" s="27">
        <v>52.854</v>
      </c>
      <c r="H445" s="27">
        <v>65.138</v>
      </c>
      <c r="I445" s="27">
        <v>77.437</v>
      </c>
    </row>
    <row r="446" ht="15.75" customHeight="1">
      <c r="B446" s="10" t="s">
        <v>565</v>
      </c>
      <c r="C446" s="10" t="s">
        <v>182</v>
      </c>
      <c r="D446" s="49">
        <v>38.0</v>
      </c>
      <c r="E446" s="51">
        <v>40.0</v>
      </c>
      <c r="F446" s="27">
        <v>23.377</v>
      </c>
      <c r="G446" s="27">
        <v>37.123</v>
      </c>
      <c r="H446" s="27">
        <v>37.289</v>
      </c>
      <c r="I446" s="27">
        <v>40.684</v>
      </c>
    </row>
    <row r="447" ht="15.75" customHeight="1">
      <c r="B447" s="10" t="s">
        <v>566</v>
      </c>
      <c r="C447" s="10" t="s">
        <v>169</v>
      </c>
      <c r="D447" s="49">
        <v>12.0</v>
      </c>
      <c r="E447" s="51">
        <v>30.0</v>
      </c>
      <c r="F447" s="27">
        <v>18.667</v>
      </c>
      <c r="G447" s="27">
        <v>28.722</v>
      </c>
      <c r="H447" s="27">
        <v>28.75</v>
      </c>
      <c r="I447" s="27">
        <v>29.194</v>
      </c>
    </row>
    <row r="448" ht="15.75" customHeight="1">
      <c r="B448" s="10" t="s">
        <v>567</v>
      </c>
      <c r="C448" s="10" t="s">
        <v>172</v>
      </c>
      <c r="D448" s="49">
        <v>11.0</v>
      </c>
      <c r="E448" s="51">
        <v>50.0</v>
      </c>
      <c r="F448" s="27">
        <v>14.598</v>
      </c>
      <c r="G448" s="27">
        <v>39.009</v>
      </c>
      <c r="H448" s="27">
        <v>38.308</v>
      </c>
      <c r="I448" s="27">
        <v>50.648</v>
      </c>
    </row>
    <row r="449" ht="15.75" customHeight="1">
      <c r="B449" s="10" t="s">
        <v>568</v>
      </c>
      <c r="C449" s="10" t="s">
        <v>171</v>
      </c>
      <c r="D449" s="49">
        <v>14.0</v>
      </c>
      <c r="E449" s="51">
        <v>25.0</v>
      </c>
      <c r="F449" s="27">
        <v>67.11</v>
      </c>
      <c r="G449" s="27">
        <v>67.181</v>
      </c>
      <c r="H449" s="27">
        <v>67.181</v>
      </c>
      <c r="I449" s="27">
        <v>67.181</v>
      </c>
    </row>
    <row r="450" ht="15.75" customHeight="1">
      <c r="B450" s="10" t="s">
        <v>569</v>
      </c>
      <c r="C450" s="10" t="s">
        <v>172</v>
      </c>
      <c r="D450" s="49">
        <v>12.0</v>
      </c>
      <c r="E450" s="51">
        <v>30.0</v>
      </c>
      <c r="F450" s="27">
        <v>50.944</v>
      </c>
      <c r="G450" s="27">
        <v>61.056</v>
      </c>
      <c r="H450" s="27">
        <v>61.056</v>
      </c>
      <c r="I450" s="27">
        <v>61.056</v>
      </c>
    </row>
    <row r="451" ht="15.75" customHeight="1">
      <c r="B451" s="10" t="s">
        <v>570</v>
      </c>
      <c r="C451" s="10" t="s">
        <v>181</v>
      </c>
      <c r="D451" s="49">
        <v>33.0</v>
      </c>
      <c r="E451" s="51">
        <v>40.0</v>
      </c>
      <c r="F451" s="27">
        <v>54.622</v>
      </c>
      <c r="G451" s="27">
        <v>71.367</v>
      </c>
      <c r="H451" s="27">
        <v>71.367</v>
      </c>
      <c r="I451" s="27">
        <v>79.711</v>
      </c>
    </row>
    <row r="452" ht="15.75" customHeight="1">
      <c r="B452" s="10" t="s">
        <v>571</v>
      </c>
      <c r="C452" s="10" t="s">
        <v>175</v>
      </c>
      <c r="D452" s="49">
        <v>14.0</v>
      </c>
      <c r="E452" s="51">
        <v>40.0</v>
      </c>
      <c r="F452" s="27">
        <v>46.714</v>
      </c>
      <c r="G452" s="27">
        <v>73.81</v>
      </c>
      <c r="H452" s="27">
        <v>74.31</v>
      </c>
      <c r="I452" s="27">
        <v>75.429</v>
      </c>
    </row>
    <row r="453" ht="15.75" customHeight="1">
      <c r="B453" s="10" t="s">
        <v>572</v>
      </c>
      <c r="C453" s="10" t="s">
        <v>228</v>
      </c>
      <c r="D453" s="49">
        <v>29.0</v>
      </c>
      <c r="E453" s="51">
        <v>30.0</v>
      </c>
      <c r="F453" s="27">
        <v>78.128</v>
      </c>
      <c r="G453" s="27">
        <v>83.109</v>
      </c>
      <c r="H453" s="27">
        <v>82.664</v>
      </c>
      <c r="I453" s="27">
        <v>80.736</v>
      </c>
    </row>
    <row r="454" ht="15.75" customHeight="1">
      <c r="B454" s="10" t="s">
        <v>573</v>
      </c>
      <c r="C454" s="10" t="s">
        <v>169</v>
      </c>
      <c r="D454" s="49">
        <v>13.0</v>
      </c>
      <c r="E454" s="51">
        <v>30.0</v>
      </c>
      <c r="F454" s="27">
        <v>5.385</v>
      </c>
      <c r="G454" s="27">
        <v>15.179</v>
      </c>
      <c r="H454" s="27">
        <v>15.436</v>
      </c>
      <c r="I454" s="27">
        <v>34.795</v>
      </c>
    </row>
    <row r="455" ht="15.75" customHeight="1">
      <c r="B455" s="10" t="s">
        <v>574</v>
      </c>
      <c r="C455" s="10" t="s">
        <v>169</v>
      </c>
      <c r="D455" s="49">
        <v>10.0</v>
      </c>
      <c r="E455" s="51">
        <v>50.0</v>
      </c>
      <c r="F455" s="27">
        <v>-33.333</v>
      </c>
      <c r="G455" s="27">
        <v>-8.333</v>
      </c>
      <c r="H455" s="27">
        <v>-8.333</v>
      </c>
      <c r="I455" s="27">
        <v>-8.333</v>
      </c>
    </row>
    <row r="456" ht="15.75" customHeight="1">
      <c r="B456" s="10" t="s">
        <v>575</v>
      </c>
      <c r="C456" s="10" t="s">
        <v>182</v>
      </c>
      <c r="D456" s="49">
        <v>16.0</v>
      </c>
      <c r="E456" s="51">
        <v>30.0</v>
      </c>
      <c r="F456" s="27">
        <v>40.731</v>
      </c>
      <c r="G456" s="27">
        <v>65.859</v>
      </c>
      <c r="H456" s="27">
        <v>66.615</v>
      </c>
      <c r="I456" s="27">
        <v>66.715</v>
      </c>
    </row>
    <row r="457" ht="15.75" customHeight="1">
      <c r="B457" s="10" t="s">
        <v>576</v>
      </c>
      <c r="C457" s="10" t="s">
        <v>182</v>
      </c>
      <c r="D457" s="49">
        <v>16.0</v>
      </c>
      <c r="E457" s="51">
        <v>50.0</v>
      </c>
      <c r="F457" s="27">
        <v>29.292</v>
      </c>
      <c r="G457" s="27">
        <v>44.875</v>
      </c>
      <c r="H457" s="27">
        <v>52.875</v>
      </c>
      <c r="I457" s="27">
        <v>60.958</v>
      </c>
    </row>
    <row r="458" ht="15.75" customHeight="1">
      <c r="B458" s="10" t="s">
        <v>577</v>
      </c>
      <c r="C458" s="10" t="s">
        <v>181</v>
      </c>
      <c r="D458" s="49">
        <v>15.0</v>
      </c>
      <c r="E458" s="51">
        <v>40.0</v>
      </c>
      <c r="F458" s="27">
        <v>32.889</v>
      </c>
      <c r="G458" s="27">
        <v>41.444</v>
      </c>
      <c r="H458" s="27">
        <v>49.978</v>
      </c>
      <c r="I458" s="27">
        <v>75.578</v>
      </c>
    </row>
    <row r="459" ht="15.75" customHeight="1">
      <c r="B459" s="10" t="s">
        <v>578</v>
      </c>
      <c r="C459" s="10" t="s">
        <v>167</v>
      </c>
      <c r="D459" s="49">
        <v>20.0</v>
      </c>
      <c r="E459" s="51">
        <v>25.0</v>
      </c>
      <c r="F459" s="27">
        <v>45.509</v>
      </c>
      <c r="G459" s="27">
        <v>46.544</v>
      </c>
      <c r="H459" s="27">
        <v>53.14</v>
      </c>
      <c r="I459" s="27">
        <v>79.526</v>
      </c>
    </row>
    <row r="460" ht="15.75" customHeight="1">
      <c r="B460" s="10" t="s">
        <v>579</v>
      </c>
      <c r="C460" s="10" t="s">
        <v>166</v>
      </c>
      <c r="D460" s="49">
        <v>29.0</v>
      </c>
      <c r="E460" s="51">
        <v>25.0</v>
      </c>
      <c r="F460" s="27">
        <v>86.935</v>
      </c>
      <c r="G460" s="27">
        <v>92.072</v>
      </c>
      <c r="H460" s="27">
        <v>92.535</v>
      </c>
      <c r="I460" s="27">
        <v>92.535</v>
      </c>
    </row>
    <row r="461" ht="15.75" customHeight="1">
      <c r="B461" s="10" t="s">
        <v>580</v>
      </c>
      <c r="C461" s="10" t="s">
        <v>166</v>
      </c>
      <c r="D461" s="49">
        <v>10.0</v>
      </c>
      <c r="E461" s="51">
        <v>50.0</v>
      </c>
      <c r="F461" s="27">
        <v>16.033</v>
      </c>
      <c r="G461" s="27">
        <v>52.667</v>
      </c>
      <c r="H461" s="27">
        <v>53.367</v>
      </c>
      <c r="I461" s="27">
        <v>55.133</v>
      </c>
    </row>
    <row r="462" ht="15.75" customHeight="1">
      <c r="B462" s="10" t="s">
        <v>581</v>
      </c>
      <c r="C462" s="10" t="s">
        <v>169</v>
      </c>
      <c r="D462" s="49">
        <v>20.0</v>
      </c>
      <c r="E462" s="51">
        <v>50.0</v>
      </c>
      <c r="F462" s="27">
        <v>17.821</v>
      </c>
      <c r="G462" s="27">
        <v>58.343</v>
      </c>
      <c r="H462" s="27">
        <v>65.474</v>
      </c>
      <c r="I462" s="27">
        <v>63.721</v>
      </c>
    </row>
    <row r="463" ht="15.75" customHeight="1">
      <c r="B463" s="10" t="s">
        <v>582</v>
      </c>
      <c r="C463" s="10" t="s">
        <v>183</v>
      </c>
      <c r="D463" s="49">
        <v>14.0</v>
      </c>
      <c r="E463" s="51">
        <v>25.0</v>
      </c>
      <c r="F463" s="27">
        <v>64.595</v>
      </c>
      <c r="G463" s="27">
        <v>64.952</v>
      </c>
      <c r="H463" s="27">
        <v>74.095</v>
      </c>
      <c r="I463" s="27">
        <v>74.119</v>
      </c>
    </row>
    <row r="464" ht="15.75" customHeight="1">
      <c r="B464" s="10" t="s">
        <v>583</v>
      </c>
      <c r="C464" s="10" t="s">
        <v>174</v>
      </c>
      <c r="D464" s="49">
        <v>18.0</v>
      </c>
      <c r="E464" s="51">
        <v>75.0</v>
      </c>
      <c r="F464" s="27">
        <v>36.914</v>
      </c>
      <c r="G464" s="27">
        <v>50.37</v>
      </c>
      <c r="H464" s="27">
        <v>78.778</v>
      </c>
      <c r="I464" s="27">
        <v>79.111</v>
      </c>
    </row>
    <row r="465" ht="15.75" customHeight="1">
      <c r="B465" s="10" t="s">
        <v>584</v>
      </c>
      <c r="C465" s="10" t="s">
        <v>171</v>
      </c>
      <c r="D465" s="49">
        <v>10.0</v>
      </c>
      <c r="E465" s="51">
        <v>30.0</v>
      </c>
      <c r="F465" s="27">
        <v>37.857</v>
      </c>
      <c r="G465" s="27">
        <v>55.524</v>
      </c>
      <c r="H465" s="27">
        <v>55.524</v>
      </c>
      <c r="I465" s="27">
        <v>55.524</v>
      </c>
    </row>
    <row r="466" ht="15.75" customHeight="1">
      <c r="B466" s="10" t="s">
        <v>585</v>
      </c>
      <c r="C466" s="10" t="s">
        <v>184</v>
      </c>
      <c r="D466" s="49">
        <v>10.0</v>
      </c>
      <c r="E466" s="51">
        <v>40.0</v>
      </c>
      <c r="F466" s="27">
        <v>8.037</v>
      </c>
      <c r="G466" s="27">
        <v>63.37</v>
      </c>
      <c r="H466" s="27">
        <v>64.333</v>
      </c>
      <c r="I466" s="27">
        <v>91.778</v>
      </c>
    </row>
    <row r="467" ht="15.75" customHeight="1">
      <c r="B467" s="10" t="s">
        <v>586</v>
      </c>
      <c r="C467" s="10" t="s">
        <v>469</v>
      </c>
      <c r="D467" s="49">
        <v>36.0</v>
      </c>
      <c r="E467" s="51">
        <v>40.0</v>
      </c>
      <c r="F467" s="27">
        <v>67.981</v>
      </c>
      <c r="G467" s="27">
        <v>75.111</v>
      </c>
      <c r="H467" s="27">
        <v>75.231</v>
      </c>
      <c r="I467" s="27">
        <v>75.454</v>
      </c>
    </row>
    <row r="468" ht="15.75" customHeight="1">
      <c r="B468" s="10" t="s">
        <v>587</v>
      </c>
      <c r="C468" s="10" t="s">
        <v>169</v>
      </c>
      <c r="D468" s="49">
        <v>13.0</v>
      </c>
      <c r="E468" s="51">
        <v>25.0</v>
      </c>
      <c r="F468" s="27">
        <v>23.897</v>
      </c>
      <c r="G468" s="27">
        <v>23.897</v>
      </c>
      <c r="H468" s="27">
        <v>23.897</v>
      </c>
      <c r="I468" s="27">
        <v>23.897</v>
      </c>
    </row>
    <row r="469" ht="15.75" customHeight="1">
      <c r="B469" s="10" t="s">
        <v>588</v>
      </c>
      <c r="C469" s="10" t="s">
        <v>171</v>
      </c>
      <c r="D469" s="49">
        <v>25.0</v>
      </c>
      <c r="E469" s="51">
        <v>40.0</v>
      </c>
      <c r="F469" s="27">
        <v>50.254</v>
      </c>
      <c r="G469" s="27">
        <v>59.609</v>
      </c>
      <c r="H469" s="27">
        <v>59.913</v>
      </c>
      <c r="I469" s="27">
        <v>60.246</v>
      </c>
    </row>
    <row r="470" ht="15.75" customHeight="1">
      <c r="B470" s="10" t="s">
        <v>589</v>
      </c>
      <c r="C470" s="10" t="s">
        <v>172</v>
      </c>
      <c r="D470" s="49">
        <v>12.0</v>
      </c>
      <c r="E470" s="51">
        <v>25.0</v>
      </c>
      <c r="F470" s="27">
        <v>48.778</v>
      </c>
      <c r="G470" s="27">
        <v>48.778</v>
      </c>
      <c r="H470" s="27">
        <v>48.778</v>
      </c>
      <c r="I470" s="27">
        <v>59.667</v>
      </c>
    </row>
    <row r="471" ht="15.75" customHeight="1">
      <c r="B471" s="10" t="s">
        <v>590</v>
      </c>
      <c r="C471" s="10" t="s">
        <v>172</v>
      </c>
      <c r="D471" s="49">
        <v>12.0</v>
      </c>
      <c r="E471" s="51">
        <v>75.0</v>
      </c>
      <c r="F471" s="27">
        <v>23.381</v>
      </c>
      <c r="G471" s="27">
        <v>80.377</v>
      </c>
      <c r="H471" s="27">
        <v>93.0</v>
      </c>
      <c r="I471" s="27">
        <v>93.385</v>
      </c>
    </row>
    <row r="472" ht="15.75" customHeight="1">
      <c r="B472" s="10" t="s">
        <v>591</v>
      </c>
      <c r="C472" s="10" t="s">
        <v>592</v>
      </c>
      <c r="D472" s="49">
        <v>18.0</v>
      </c>
      <c r="E472" s="51">
        <v>10.0</v>
      </c>
      <c r="F472" s="27">
        <v>94.444</v>
      </c>
      <c r="G472" s="27">
        <v>94.444</v>
      </c>
      <c r="H472" s="27">
        <v>94.444</v>
      </c>
      <c r="I472" s="27">
        <v>94.485</v>
      </c>
    </row>
    <row r="473" ht="15.75" customHeight="1">
      <c r="B473" s="10" t="s">
        <v>593</v>
      </c>
      <c r="C473" s="10" t="s">
        <v>169</v>
      </c>
      <c r="D473" s="49">
        <v>10.0</v>
      </c>
      <c r="E473" s="51">
        <v>25.0</v>
      </c>
      <c r="F473" s="27">
        <v>8.148</v>
      </c>
      <c r="G473" s="27">
        <v>8.148</v>
      </c>
      <c r="H473" s="27">
        <v>21.667</v>
      </c>
      <c r="I473" s="27">
        <v>49.593</v>
      </c>
    </row>
    <row r="474" ht="15.75" customHeight="1">
      <c r="B474" s="10" t="s">
        <v>594</v>
      </c>
      <c r="C474" s="10" t="s">
        <v>181</v>
      </c>
      <c r="D474" s="49">
        <v>14.0</v>
      </c>
      <c r="E474" s="51">
        <v>90.0</v>
      </c>
      <c r="F474" s="27">
        <v>11.167</v>
      </c>
      <c r="G474" s="27">
        <v>11.167</v>
      </c>
      <c r="H474" s="27">
        <v>46.762</v>
      </c>
      <c r="I474" s="27">
        <v>64.952</v>
      </c>
    </row>
    <row r="475" ht="15.75" customHeight="1">
      <c r="B475" s="10" t="s">
        <v>595</v>
      </c>
      <c r="C475" s="10" t="s">
        <v>176</v>
      </c>
      <c r="D475" s="49">
        <v>16.0</v>
      </c>
      <c r="E475" s="51">
        <v>40.0</v>
      </c>
      <c r="F475" s="27">
        <v>60.542</v>
      </c>
      <c r="G475" s="27">
        <v>84.062</v>
      </c>
      <c r="H475" s="27">
        <v>84.583</v>
      </c>
      <c r="I475" s="27">
        <v>85.125</v>
      </c>
    </row>
    <row r="476" ht="15.75" customHeight="1">
      <c r="B476" s="10" t="s">
        <v>596</v>
      </c>
      <c r="C476" s="10" t="s">
        <v>169</v>
      </c>
      <c r="D476" s="49">
        <v>15.0</v>
      </c>
      <c r="E476" s="51">
        <v>75.0</v>
      </c>
      <c r="F476" s="27">
        <v>-6.69</v>
      </c>
      <c r="G476" s="27">
        <v>54.857</v>
      </c>
      <c r="H476" s="27">
        <v>64.381</v>
      </c>
      <c r="I476" s="27">
        <v>82.19</v>
      </c>
    </row>
    <row r="477" ht="15.75" customHeight="1">
      <c r="B477" s="10" t="s">
        <v>597</v>
      </c>
      <c r="C477" s="10" t="s">
        <v>172</v>
      </c>
      <c r="D477" s="49">
        <v>11.0</v>
      </c>
      <c r="E477" s="51">
        <v>50.0</v>
      </c>
      <c r="F477" s="27">
        <v>68.576</v>
      </c>
      <c r="G477" s="27">
        <v>80.212</v>
      </c>
      <c r="H477" s="27">
        <v>80.515</v>
      </c>
      <c r="I477" s="27">
        <v>80.515</v>
      </c>
    </row>
    <row r="478" ht="15.75" customHeight="1">
      <c r="B478" s="10" t="s">
        <v>598</v>
      </c>
      <c r="C478" s="10" t="s">
        <v>176</v>
      </c>
      <c r="D478" s="49">
        <v>18.0</v>
      </c>
      <c r="E478" s="51">
        <v>20.0</v>
      </c>
      <c r="F478" s="27">
        <v>82.503</v>
      </c>
      <c r="G478" s="27">
        <v>83.019</v>
      </c>
      <c r="H478" s="27">
        <v>83.019</v>
      </c>
      <c r="I478" s="27">
        <v>92.333</v>
      </c>
    </row>
    <row r="479" ht="15.75" customHeight="1">
      <c r="B479" s="10" t="s">
        <v>599</v>
      </c>
      <c r="C479" s="10" t="s">
        <v>171</v>
      </c>
      <c r="D479" s="49">
        <v>20.0</v>
      </c>
      <c r="E479" s="51">
        <v>40.0</v>
      </c>
      <c r="F479" s="27">
        <v>54.0</v>
      </c>
      <c r="G479" s="27">
        <v>60.217</v>
      </c>
      <c r="H479" s="27">
        <v>60.833</v>
      </c>
      <c r="I479" s="27">
        <v>79.45</v>
      </c>
    </row>
    <row r="480" ht="15.75" customHeight="1">
      <c r="B480" s="10" t="s">
        <v>600</v>
      </c>
      <c r="C480" s="10" t="s">
        <v>166</v>
      </c>
      <c r="D480" s="49">
        <v>45.0</v>
      </c>
      <c r="E480" s="51">
        <v>40.0</v>
      </c>
      <c r="F480" s="27">
        <v>34.659</v>
      </c>
      <c r="G480" s="27">
        <v>66.75</v>
      </c>
      <c r="H480" s="27">
        <v>75.386</v>
      </c>
      <c r="I480" s="27">
        <v>81.682</v>
      </c>
    </row>
    <row r="481" ht="15.75" customHeight="1">
      <c r="B481" s="10" t="s">
        <v>601</v>
      </c>
      <c r="C481" s="10" t="s">
        <v>602</v>
      </c>
      <c r="D481" s="49">
        <v>10.0</v>
      </c>
      <c r="E481" s="51">
        <v>25.0</v>
      </c>
      <c r="F481" s="27">
        <v>54.767</v>
      </c>
      <c r="G481" s="27">
        <v>55.133</v>
      </c>
      <c r="H481" s="27">
        <v>67.6</v>
      </c>
      <c r="I481" s="27">
        <v>79.9</v>
      </c>
    </row>
    <row r="482" ht="15.75" customHeight="1">
      <c r="B482" s="10" t="s">
        <v>603</v>
      </c>
      <c r="C482" s="10" t="s">
        <v>179</v>
      </c>
      <c r="D482" s="49">
        <v>14.0</v>
      </c>
      <c r="E482" s="51">
        <v>20.0</v>
      </c>
      <c r="F482" s="27">
        <v>83.619</v>
      </c>
      <c r="G482" s="27">
        <v>83.619</v>
      </c>
      <c r="H482" s="27">
        <v>84.024</v>
      </c>
      <c r="I482" s="27">
        <v>84.048</v>
      </c>
    </row>
    <row r="483" ht="15.75" customHeight="1">
      <c r="B483" s="10" t="s">
        <v>604</v>
      </c>
      <c r="C483" s="10" t="s">
        <v>170</v>
      </c>
      <c r="D483" s="49">
        <v>12.0</v>
      </c>
      <c r="E483" s="51">
        <v>40.0</v>
      </c>
      <c r="F483" s="27">
        <v>21.323</v>
      </c>
      <c r="G483" s="27">
        <v>32.488</v>
      </c>
      <c r="H483" s="27">
        <v>32.571</v>
      </c>
      <c r="I483" s="27">
        <v>66.604</v>
      </c>
    </row>
    <row r="484" ht="15.75" customHeight="1">
      <c r="B484" s="10" t="s">
        <v>605</v>
      </c>
      <c r="C484" s="10" t="s">
        <v>180</v>
      </c>
      <c r="D484" s="49">
        <v>11.0</v>
      </c>
      <c r="E484" s="51">
        <v>30.0</v>
      </c>
      <c r="F484" s="27">
        <v>20.333</v>
      </c>
      <c r="G484" s="27">
        <v>34.457</v>
      </c>
      <c r="H484" s="27">
        <v>34.457</v>
      </c>
      <c r="I484" s="27">
        <v>62.393</v>
      </c>
    </row>
    <row r="485" ht="15.75" customHeight="1">
      <c r="B485" s="10" t="s">
        <v>606</v>
      </c>
      <c r="C485" s="10" t="s">
        <v>180</v>
      </c>
      <c r="D485" s="49">
        <v>11.0</v>
      </c>
      <c r="E485" s="51">
        <v>40.0</v>
      </c>
      <c r="F485" s="27">
        <v>35.152</v>
      </c>
      <c r="G485" s="27">
        <v>58.121</v>
      </c>
      <c r="H485" s="27">
        <v>58.303</v>
      </c>
      <c r="I485" s="27">
        <v>69.636</v>
      </c>
    </row>
    <row r="486" ht="15.75" customHeight="1">
      <c r="B486" s="10" t="s">
        <v>607</v>
      </c>
      <c r="C486" s="10" t="s">
        <v>166</v>
      </c>
      <c r="D486" s="49">
        <v>21.0</v>
      </c>
      <c r="E486" s="51">
        <v>20.0</v>
      </c>
      <c r="F486" s="27">
        <v>2.175</v>
      </c>
      <c r="G486" s="27">
        <v>2.238</v>
      </c>
      <c r="H486" s="27">
        <v>2.429</v>
      </c>
      <c r="I486" s="27">
        <v>14.705</v>
      </c>
    </row>
    <row r="487" ht="15.75" customHeight="1">
      <c r="B487" s="10" t="s">
        <v>608</v>
      </c>
      <c r="C487" s="10" t="s">
        <v>609</v>
      </c>
      <c r="D487" s="49">
        <v>10.0</v>
      </c>
      <c r="E487" s="51">
        <v>15.0</v>
      </c>
      <c r="F487" s="27">
        <v>77.111</v>
      </c>
      <c r="G487" s="27">
        <v>77.111</v>
      </c>
      <c r="H487" s="27">
        <v>77.111</v>
      </c>
      <c r="I487" s="27">
        <v>77.111</v>
      </c>
    </row>
    <row r="488" ht="15.75" customHeight="1">
      <c r="B488" s="10" t="s">
        <v>610</v>
      </c>
      <c r="C488" s="10" t="s">
        <v>177</v>
      </c>
      <c r="D488" s="49">
        <v>10.0</v>
      </c>
      <c r="E488" s="51">
        <v>90.0</v>
      </c>
      <c r="F488" s="27">
        <v>28.267</v>
      </c>
      <c r="G488" s="27">
        <v>65.7</v>
      </c>
      <c r="H488" s="27">
        <v>91.033</v>
      </c>
      <c r="I488" s="27">
        <v>91.533</v>
      </c>
    </row>
    <row r="489" ht="15.75" customHeight="1">
      <c r="B489" s="10" t="s">
        <v>611</v>
      </c>
      <c r="C489" s="10" t="s">
        <v>182</v>
      </c>
      <c r="D489" s="49">
        <v>10.0</v>
      </c>
      <c r="E489" s="51">
        <v>25.0</v>
      </c>
      <c r="F489" s="27">
        <v>40.967</v>
      </c>
      <c r="G489" s="27">
        <v>40.967</v>
      </c>
      <c r="H489" s="27">
        <v>40.967</v>
      </c>
      <c r="I489" s="27">
        <v>40.967</v>
      </c>
    </row>
    <row r="490" ht="15.75" customHeight="1">
      <c r="B490" s="10" t="s">
        <v>612</v>
      </c>
      <c r="C490" s="10" t="s">
        <v>169</v>
      </c>
      <c r="D490" s="49">
        <v>20.0</v>
      </c>
      <c r="E490" s="51">
        <v>40.0</v>
      </c>
      <c r="F490" s="27">
        <v>36.998</v>
      </c>
      <c r="G490" s="27">
        <v>72.676</v>
      </c>
      <c r="H490" s="27">
        <v>70.983</v>
      </c>
      <c r="I490" s="27">
        <v>71.083</v>
      </c>
    </row>
    <row r="491" ht="15.75" customHeight="1">
      <c r="B491" s="10" t="s">
        <v>613</v>
      </c>
      <c r="C491" s="10" t="s">
        <v>169</v>
      </c>
      <c r="D491" s="49">
        <v>13.0</v>
      </c>
      <c r="E491" s="51">
        <v>100.0</v>
      </c>
      <c r="F491" s="27">
        <v>7.639</v>
      </c>
      <c r="G491" s="27">
        <v>48.528</v>
      </c>
      <c r="H491" s="27">
        <v>80.093</v>
      </c>
      <c r="I491" s="27">
        <v>80.261</v>
      </c>
    </row>
    <row r="492" ht="15.75" customHeight="1">
      <c r="B492" s="10" t="s">
        <v>614</v>
      </c>
      <c r="C492" s="10" t="s">
        <v>171</v>
      </c>
      <c r="D492" s="49">
        <v>11.0</v>
      </c>
      <c r="E492" s="51">
        <v>125.0</v>
      </c>
      <c r="F492" s="27">
        <v>-9.273</v>
      </c>
      <c r="G492" s="27">
        <v>-9.273</v>
      </c>
      <c r="H492" s="27">
        <v>2.307</v>
      </c>
      <c r="I492" s="27">
        <v>14.92</v>
      </c>
    </row>
    <row r="493" ht="15.75" customHeight="1">
      <c r="B493" s="10" t="s">
        <v>615</v>
      </c>
      <c r="C493" s="10" t="s">
        <v>180</v>
      </c>
      <c r="D493" s="49">
        <v>22.0</v>
      </c>
      <c r="E493" s="51">
        <v>50.0</v>
      </c>
      <c r="F493" s="27">
        <v>57.167</v>
      </c>
      <c r="G493" s="27">
        <v>74.364</v>
      </c>
      <c r="H493" s="27">
        <v>74.576</v>
      </c>
      <c r="I493" s="27">
        <v>86.045</v>
      </c>
    </row>
    <row r="494" ht="15.75" customHeight="1">
      <c r="B494" s="10" t="s">
        <v>616</v>
      </c>
      <c r="C494" s="10" t="s">
        <v>166</v>
      </c>
      <c r="D494" s="49">
        <v>10.0</v>
      </c>
      <c r="E494" s="51">
        <v>40.0</v>
      </c>
      <c r="F494" s="27">
        <v>54.7</v>
      </c>
      <c r="G494" s="27">
        <v>67.5</v>
      </c>
      <c r="H494" s="27">
        <v>80.633</v>
      </c>
      <c r="I494" s="27">
        <v>80.633</v>
      </c>
    </row>
    <row r="495" ht="15.75" customHeight="1">
      <c r="B495" s="10" t="s">
        <v>617</v>
      </c>
      <c r="C495" s="10" t="s">
        <v>592</v>
      </c>
      <c r="D495" s="49">
        <v>43.0</v>
      </c>
      <c r="E495" s="51">
        <v>40.0</v>
      </c>
      <c r="F495" s="27">
        <v>78.517</v>
      </c>
      <c r="G495" s="27">
        <v>88.178</v>
      </c>
      <c r="H495" s="27">
        <v>88.411</v>
      </c>
      <c r="I495" s="27">
        <v>88.426</v>
      </c>
    </row>
    <row r="496" ht="15.75" customHeight="1">
      <c r="B496" s="10" t="s">
        <v>618</v>
      </c>
      <c r="C496" s="10" t="s">
        <v>174</v>
      </c>
      <c r="D496" s="49">
        <v>16.0</v>
      </c>
      <c r="E496" s="51">
        <v>15.0</v>
      </c>
      <c r="F496" s="27">
        <v>22.208</v>
      </c>
      <c r="G496" s="27">
        <v>22.208</v>
      </c>
      <c r="H496" s="27">
        <v>22.208</v>
      </c>
      <c r="I496" s="27">
        <v>22.208</v>
      </c>
    </row>
    <row r="497" ht="15.75" customHeight="1">
      <c r="B497" s="10" t="s">
        <v>619</v>
      </c>
      <c r="C497" s="10" t="s">
        <v>166</v>
      </c>
      <c r="D497" s="49">
        <v>23.0</v>
      </c>
      <c r="E497" s="51">
        <v>40.0</v>
      </c>
      <c r="F497" s="27">
        <v>54.729</v>
      </c>
      <c r="G497" s="27">
        <v>85.485</v>
      </c>
      <c r="H497" s="27">
        <v>86.636</v>
      </c>
      <c r="I497" s="27">
        <v>87.288</v>
      </c>
    </row>
    <row r="498" ht="15.75" customHeight="1">
      <c r="B498" s="10" t="s">
        <v>620</v>
      </c>
      <c r="C498" s="10" t="s">
        <v>178</v>
      </c>
      <c r="D498" s="49">
        <v>10.0</v>
      </c>
      <c r="E498" s="51">
        <v>75.0</v>
      </c>
      <c r="F498" s="27">
        <v>16.733</v>
      </c>
      <c r="G498" s="27">
        <v>41.533</v>
      </c>
      <c r="H498" s="27">
        <v>54.067</v>
      </c>
      <c r="I498" s="27">
        <v>54.2</v>
      </c>
    </row>
    <row r="499" ht="15.75" customHeight="1">
      <c r="B499" s="10" t="s">
        <v>621</v>
      </c>
      <c r="C499" s="10" t="s">
        <v>179</v>
      </c>
      <c r="D499" s="49">
        <v>14.0</v>
      </c>
      <c r="E499" s="51">
        <v>60.0</v>
      </c>
      <c r="F499" s="27">
        <v>-6.619</v>
      </c>
      <c r="G499" s="27">
        <v>11.333</v>
      </c>
      <c r="H499" s="27">
        <v>19.905</v>
      </c>
      <c r="I499" s="27">
        <v>37.31</v>
      </c>
    </row>
    <row r="500" ht="15.75" customHeight="1">
      <c r="B500" s="10" t="s">
        <v>622</v>
      </c>
      <c r="C500" s="10" t="s">
        <v>177</v>
      </c>
      <c r="D500" s="49">
        <v>11.0</v>
      </c>
      <c r="E500" s="51">
        <v>60.0</v>
      </c>
      <c r="F500" s="27">
        <v>46.152</v>
      </c>
      <c r="G500" s="27">
        <v>46.152</v>
      </c>
      <c r="H500" s="27">
        <v>57.545</v>
      </c>
      <c r="I500" s="27">
        <v>57.545</v>
      </c>
    </row>
    <row r="501" ht="15.75" customHeight="1">
      <c r="B501" s="10" t="s">
        <v>623</v>
      </c>
      <c r="C501" s="10" t="s">
        <v>166</v>
      </c>
      <c r="D501" s="49">
        <v>15.0</v>
      </c>
      <c r="E501" s="51">
        <v>90.0</v>
      </c>
      <c r="F501" s="27">
        <v>7.6</v>
      </c>
      <c r="G501" s="27">
        <v>15.978</v>
      </c>
      <c r="H501" s="27">
        <v>49.311</v>
      </c>
      <c r="I501" s="27">
        <v>74.933</v>
      </c>
    </row>
    <row r="502" ht="15.75" customHeight="1">
      <c r="B502" s="10" t="s">
        <v>624</v>
      </c>
      <c r="C502" s="10" t="s">
        <v>169</v>
      </c>
      <c r="D502" s="49">
        <v>117.0</v>
      </c>
      <c r="E502" s="51">
        <v>40.0</v>
      </c>
      <c r="F502" s="27">
        <v>78.876</v>
      </c>
      <c r="G502" s="27">
        <v>86.911</v>
      </c>
      <c r="H502" s="27">
        <v>93.546</v>
      </c>
      <c r="I502" s="27">
        <v>93.75</v>
      </c>
    </row>
    <row r="503" ht="15.75" customHeight="1">
      <c r="B503" s="10" t="s">
        <v>625</v>
      </c>
      <c r="C503" s="10" t="s">
        <v>182</v>
      </c>
      <c r="D503" s="49">
        <v>11.0</v>
      </c>
      <c r="E503" s="51">
        <v>30.0</v>
      </c>
      <c r="F503" s="27">
        <v>25.424</v>
      </c>
      <c r="G503" s="27">
        <v>37.242</v>
      </c>
      <c r="H503" s="27">
        <v>37.697</v>
      </c>
      <c r="I503" s="27">
        <v>37.697</v>
      </c>
    </row>
    <row r="504" ht="15.75" customHeight="1">
      <c r="B504" s="10" t="s">
        <v>626</v>
      </c>
      <c r="C504" s="10" t="s">
        <v>176</v>
      </c>
      <c r="D504" s="49">
        <v>12.0</v>
      </c>
      <c r="E504" s="51">
        <v>60.0</v>
      </c>
      <c r="F504" s="27">
        <v>41.889</v>
      </c>
      <c r="G504" s="27">
        <v>64.25</v>
      </c>
      <c r="H504" s="27">
        <v>82.389</v>
      </c>
      <c r="I504" s="27">
        <v>82.389</v>
      </c>
    </row>
    <row r="505" ht="15.75" customHeight="1">
      <c r="B505" s="10" t="s">
        <v>627</v>
      </c>
      <c r="C505" s="10" t="s">
        <v>174</v>
      </c>
      <c r="D505" s="49">
        <v>15.0</v>
      </c>
      <c r="E505" s="51">
        <v>25.0</v>
      </c>
      <c r="F505" s="27">
        <v>82.756</v>
      </c>
      <c r="G505" s="27">
        <v>83.933</v>
      </c>
      <c r="H505" s="27">
        <v>84.333</v>
      </c>
      <c r="I505" s="27">
        <v>84.333</v>
      </c>
    </row>
    <row r="506" ht="15.75" customHeight="1">
      <c r="B506" s="10" t="s">
        <v>628</v>
      </c>
      <c r="C506" s="10" t="s">
        <v>170</v>
      </c>
      <c r="D506" s="49">
        <v>18.0</v>
      </c>
      <c r="E506" s="51">
        <v>25.0</v>
      </c>
      <c r="F506" s="27">
        <v>78.333</v>
      </c>
      <c r="G506" s="27">
        <v>78.833</v>
      </c>
      <c r="H506" s="27">
        <v>93.056</v>
      </c>
      <c r="I506" s="27">
        <v>93.056</v>
      </c>
    </row>
    <row r="507" ht="15.75" customHeight="1">
      <c r="B507" s="10" t="s">
        <v>629</v>
      </c>
      <c r="C507" s="10" t="s">
        <v>167</v>
      </c>
      <c r="D507" s="49">
        <v>10.0</v>
      </c>
      <c r="E507" s="51">
        <v>30.0</v>
      </c>
      <c r="F507" s="27">
        <v>15.5</v>
      </c>
      <c r="G507" s="27">
        <v>27.733</v>
      </c>
      <c r="H507" s="27">
        <v>28.933</v>
      </c>
      <c r="I507" s="27">
        <v>54.467</v>
      </c>
    </row>
    <row r="508" ht="15.75" customHeight="1">
      <c r="B508" s="10" t="s">
        <v>630</v>
      </c>
      <c r="C508" s="10" t="s">
        <v>176</v>
      </c>
      <c r="D508" s="49">
        <v>11.0</v>
      </c>
      <c r="E508" s="51">
        <v>75.0</v>
      </c>
      <c r="F508" s="27">
        <v>-9.3</v>
      </c>
      <c r="G508" s="27">
        <v>26.779</v>
      </c>
      <c r="H508" s="27">
        <v>64.485</v>
      </c>
      <c r="I508" s="27">
        <v>64.189</v>
      </c>
    </row>
    <row r="509" ht="15.75" customHeight="1">
      <c r="B509" s="10" t="s">
        <v>631</v>
      </c>
      <c r="C509" s="10" t="s">
        <v>602</v>
      </c>
      <c r="D509" s="49">
        <v>15.0</v>
      </c>
      <c r="E509" s="51">
        <v>30.0</v>
      </c>
      <c r="F509" s="27">
        <v>53.0</v>
      </c>
      <c r="G509" s="27">
        <v>63.026</v>
      </c>
      <c r="H509" s="27">
        <v>72.897</v>
      </c>
      <c r="I509" s="27">
        <v>73.128</v>
      </c>
    </row>
    <row r="510" ht="15.75" customHeight="1">
      <c r="B510" s="10" t="s">
        <v>632</v>
      </c>
      <c r="C510" s="10" t="s">
        <v>171</v>
      </c>
      <c r="D510" s="49">
        <v>24.0</v>
      </c>
      <c r="E510" s="51">
        <v>30.0</v>
      </c>
      <c r="F510" s="27">
        <v>76.0</v>
      </c>
      <c r="G510" s="27">
        <v>87.236</v>
      </c>
      <c r="H510" s="27">
        <v>87.653</v>
      </c>
      <c r="I510" s="27">
        <v>88.0</v>
      </c>
    </row>
    <row r="511" ht="15.75" customHeight="1">
      <c r="B511" s="10" t="s">
        <v>633</v>
      </c>
      <c r="C511" s="10" t="s">
        <v>171</v>
      </c>
      <c r="D511" s="49">
        <v>34.0</v>
      </c>
      <c r="E511" s="51">
        <v>25.0</v>
      </c>
      <c r="F511" s="27">
        <v>66.07</v>
      </c>
      <c r="G511" s="27">
        <v>68.92</v>
      </c>
      <c r="H511" s="27">
        <v>70.579</v>
      </c>
      <c r="I511" s="27">
        <v>75.029</v>
      </c>
    </row>
    <row r="512" ht="15.75" customHeight="1">
      <c r="B512" s="10" t="s">
        <v>634</v>
      </c>
      <c r="C512" s="10" t="s">
        <v>180</v>
      </c>
      <c r="D512" s="49">
        <v>12.0</v>
      </c>
      <c r="E512" s="51">
        <v>90.0</v>
      </c>
      <c r="F512" s="27">
        <v>29.167</v>
      </c>
      <c r="G512" s="27">
        <v>60.667</v>
      </c>
      <c r="H512" s="27">
        <v>82.639</v>
      </c>
      <c r="I512" s="27">
        <v>82.639</v>
      </c>
    </row>
    <row r="513" ht="15.75" customHeight="1">
      <c r="B513" s="10" t="s">
        <v>635</v>
      </c>
      <c r="C513" s="10" t="s">
        <v>166</v>
      </c>
      <c r="D513" s="49">
        <v>23.0</v>
      </c>
      <c r="E513" s="51">
        <v>40.0</v>
      </c>
      <c r="F513" s="27">
        <v>67.142</v>
      </c>
      <c r="G513" s="27">
        <v>81.106</v>
      </c>
      <c r="H513" s="27">
        <v>81.121</v>
      </c>
      <c r="I513" s="27">
        <v>81.121</v>
      </c>
    </row>
    <row r="514" ht="15.75" customHeight="1">
      <c r="B514" s="10" t="s">
        <v>636</v>
      </c>
      <c r="C514" s="10" t="s">
        <v>177</v>
      </c>
      <c r="D514" s="49">
        <v>18.0</v>
      </c>
      <c r="E514" s="51">
        <v>50.0</v>
      </c>
      <c r="F514" s="27">
        <v>56.63</v>
      </c>
      <c r="G514" s="27">
        <v>77.259</v>
      </c>
      <c r="H514" s="27">
        <v>78.167</v>
      </c>
      <c r="I514" s="27">
        <v>78.833</v>
      </c>
    </row>
    <row r="515" ht="15.75" customHeight="1">
      <c r="B515" s="10" t="s">
        <v>637</v>
      </c>
      <c r="C515" s="10" t="s">
        <v>178</v>
      </c>
      <c r="D515" s="49">
        <v>11.0</v>
      </c>
      <c r="E515" s="51">
        <v>60.0</v>
      </c>
      <c r="F515" s="27">
        <v>40.0</v>
      </c>
      <c r="G515" s="27">
        <v>64.933</v>
      </c>
      <c r="H515" s="27">
        <v>78.236</v>
      </c>
      <c r="I515" s="27">
        <v>78.236</v>
      </c>
    </row>
    <row r="516" ht="15.75" customHeight="1">
      <c r="B516" s="10" t="s">
        <v>638</v>
      </c>
      <c r="C516" s="10" t="s">
        <v>176</v>
      </c>
      <c r="D516" s="49">
        <v>120.0</v>
      </c>
      <c r="E516" s="51">
        <v>30.0</v>
      </c>
      <c r="F516" s="27">
        <v>81.839</v>
      </c>
      <c r="G516" s="27">
        <v>84.45</v>
      </c>
      <c r="H516" s="27">
        <v>84.533</v>
      </c>
      <c r="I516" s="27">
        <v>84.689</v>
      </c>
    </row>
    <row r="517" ht="15.75" customHeight="1">
      <c r="B517" s="10" t="s">
        <v>639</v>
      </c>
      <c r="C517" s="10" t="s">
        <v>170</v>
      </c>
      <c r="D517" s="49">
        <v>12.0</v>
      </c>
      <c r="E517" s="51">
        <v>75.0</v>
      </c>
      <c r="F517" s="27">
        <v>8.63</v>
      </c>
      <c r="G517" s="27">
        <v>22.741</v>
      </c>
      <c r="H517" s="27">
        <v>36.444</v>
      </c>
      <c r="I517" s="27">
        <v>50.222</v>
      </c>
    </row>
    <row r="518" ht="15.75" customHeight="1">
      <c r="B518" s="10" t="s">
        <v>640</v>
      </c>
      <c r="C518" s="10" t="s">
        <v>179</v>
      </c>
      <c r="D518" s="49">
        <v>17.0</v>
      </c>
      <c r="E518" s="51">
        <v>40.0</v>
      </c>
      <c r="F518" s="27">
        <v>28.388</v>
      </c>
      <c r="G518" s="27">
        <v>59.677</v>
      </c>
      <c r="H518" s="27">
        <v>60.508</v>
      </c>
      <c r="I518" s="27">
        <v>60.84</v>
      </c>
    </row>
    <row r="519" ht="15.75" customHeight="1">
      <c r="B519" s="10" t="s">
        <v>641</v>
      </c>
      <c r="C519" s="10" t="s">
        <v>228</v>
      </c>
      <c r="D519" s="49">
        <v>14.0</v>
      </c>
      <c r="E519" s="51">
        <v>15.0</v>
      </c>
      <c r="F519" s="27">
        <v>65.69</v>
      </c>
      <c r="G519" s="27">
        <v>65.738</v>
      </c>
      <c r="H519" s="27">
        <v>65.738</v>
      </c>
      <c r="I519" s="27">
        <v>65.738</v>
      </c>
    </row>
    <row r="520" ht="15.75" customHeight="1">
      <c r="B520" s="10" t="s">
        <v>642</v>
      </c>
      <c r="C520" s="10" t="s">
        <v>180</v>
      </c>
      <c r="D520" s="49">
        <v>26.0</v>
      </c>
      <c r="E520" s="51">
        <v>50.0</v>
      </c>
      <c r="F520" s="27">
        <v>44.09</v>
      </c>
      <c r="G520" s="27">
        <v>63.487</v>
      </c>
      <c r="H520" s="27">
        <v>63.821</v>
      </c>
      <c r="I520" s="27">
        <v>63.821</v>
      </c>
    </row>
    <row r="521" ht="15.75" customHeight="1">
      <c r="B521" s="10" t="s">
        <v>643</v>
      </c>
      <c r="C521" s="10" t="s">
        <v>180</v>
      </c>
      <c r="D521" s="49">
        <v>12.0</v>
      </c>
      <c r="E521" s="51">
        <v>150.0</v>
      </c>
      <c r="F521" s="27">
        <v>-22.944</v>
      </c>
      <c r="G521" s="27">
        <v>-22.694</v>
      </c>
      <c r="H521" s="27">
        <v>-12.667</v>
      </c>
      <c r="I521" s="27">
        <v>8.5</v>
      </c>
    </row>
    <row r="522" ht="15.75" customHeight="1">
      <c r="B522" s="10" t="s">
        <v>644</v>
      </c>
      <c r="C522" s="10" t="s">
        <v>171</v>
      </c>
      <c r="D522" s="49">
        <v>11.0</v>
      </c>
      <c r="E522" s="51">
        <v>60.0</v>
      </c>
      <c r="F522" s="27">
        <v>49.22</v>
      </c>
      <c r="G522" s="27">
        <v>46.818</v>
      </c>
      <c r="H522" s="27">
        <v>61.646</v>
      </c>
      <c r="I522" s="27">
        <v>69.424</v>
      </c>
    </row>
    <row r="523" ht="15.75" customHeight="1">
      <c r="B523" s="10" t="s">
        <v>645</v>
      </c>
      <c r="C523" s="10" t="s">
        <v>169</v>
      </c>
      <c r="D523" s="49">
        <v>20.0</v>
      </c>
      <c r="E523" s="51">
        <v>40.0</v>
      </c>
      <c r="F523" s="27">
        <v>37.163</v>
      </c>
      <c r="G523" s="27">
        <v>49.481</v>
      </c>
      <c r="H523" s="27">
        <v>49.87</v>
      </c>
      <c r="I523" s="27">
        <v>49.963</v>
      </c>
    </row>
    <row r="524" ht="15.75" customHeight="1">
      <c r="B524" s="10" t="s">
        <v>646</v>
      </c>
      <c r="C524" s="10" t="s">
        <v>166</v>
      </c>
      <c r="D524" s="49">
        <v>38.0</v>
      </c>
      <c r="E524" s="51">
        <v>40.0</v>
      </c>
      <c r="F524" s="27">
        <v>69.045</v>
      </c>
      <c r="G524" s="27">
        <v>79.459</v>
      </c>
      <c r="H524" s="27">
        <v>79.847</v>
      </c>
      <c r="I524" s="27">
        <v>83.396</v>
      </c>
    </row>
    <row r="525" ht="15.75" customHeight="1">
      <c r="B525" s="10" t="s">
        <v>647</v>
      </c>
      <c r="C525" s="10" t="s">
        <v>169</v>
      </c>
      <c r="D525" s="49">
        <v>23.0</v>
      </c>
      <c r="E525" s="51">
        <v>60.0</v>
      </c>
      <c r="F525" s="27">
        <v>34.231</v>
      </c>
      <c r="G525" s="27">
        <v>46.715</v>
      </c>
      <c r="H525" s="27">
        <v>53.24</v>
      </c>
      <c r="I525" s="27">
        <v>71.116</v>
      </c>
    </row>
    <row r="526" ht="15.75" customHeight="1">
      <c r="B526" s="10" t="s">
        <v>648</v>
      </c>
      <c r="C526" s="10" t="s">
        <v>175</v>
      </c>
      <c r="D526" s="49">
        <v>11.0</v>
      </c>
      <c r="E526" s="51">
        <v>30.0</v>
      </c>
      <c r="F526" s="27">
        <v>45.242</v>
      </c>
      <c r="G526" s="27">
        <v>57.212</v>
      </c>
      <c r="H526" s="27">
        <v>57.303</v>
      </c>
      <c r="I526" s="27">
        <v>57.909</v>
      </c>
    </row>
    <row r="527" ht="15.75" customHeight="1">
      <c r="B527" s="10" t="s">
        <v>649</v>
      </c>
      <c r="C527" s="10" t="s">
        <v>174</v>
      </c>
      <c r="D527" s="49">
        <v>18.0</v>
      </c>
      <c r="E527" s="51">
        <v>50.0</v>
      </c>
      <c r="F527" s="27">
        <v>63.852</v>
      </c>
      <c r="G527" s="27">
        <v>77.611</v>
      </c>
      <c r="H527" s="27">
        <v>78.241</v>
      </c>
      <c r="I527" s="27">
        <v>78.611</v>
      </c>
    </row>
    <row r="528" ht="15.75" customHeight="1">
      <c r="B528" s="10" t="s">
        <v>650</v>
      </c>
      <c r="C528" s="10" t="s">
        <v>169</v>
      </c>
      <c r="D528" s="49">
        <v>15.0</v>
      </c>
      <c r="E528" s="51">
        <v>60.0</v>
      </c>
      <c r="F528" s="27">
        <v>42.156</v>
      </c>
      <c r="G528" s="27">
        <v>50.667</v>
      </c>
      <c r="H528" s="27">
        <v>59.0</v>
      </c>
      <c r="I528" s="27">
        <v>59.444</v>
      </c>
    </row>
    <row r="529" ht="15.75" customHeight="1">
      <c r="B529" s="10" t="s">
        <v>651</v>
      </c>
      <c r="C529" s="10" t="s">
        <v>171</v>
      </c>
      <c r="D529" s="49">
        <v>12.0</v>
      </c>
      <c r="E529" s="51">
        <v>40.0</v>
      </c>
      <c r="F529" s="27">
        <v>-11.203</v>
      </c>
      <c r="G529" s="27">
        <v>11.439</v>
      </c>
      <c r="H529" s="27">
        <v>11.439</v>
      </c>
      <c r="I529" s="27">
        <v>34.264</v>
      </c>
    </row>
    <row r="530" ht="15.75" customHeight="1">
      <c r="B530" s="10" t="s">
        <v>652</v>
      </c>
      <c r="C530" s="10" t="s">
        <v>172</v>
      </c>
      <c r="D530" s="49">
        <v>22.0</v>
      </c>
      <c r="E530" s="51">
        <v>50.0</v>
      </c>
      <c r="F530" s="27">
        <v>41.867</v>
      </c>
      <c r="G530" s="27">
        <v>66.546</v>
      </c>
      <c r="H530" s="27">
        <v>66.78</v>
      </c>
      <c r="I530" s="27">
        <v>67.256</v>
      </c>
    </row>
    <row r="531" ht="15.75" customHeight="1">
      <c r="B531" s="10" t="s">
        <v>653</v>
      </c>
      <c r="C531" s="10" t="s">
        <v>182</v>
      </c>
      <c r="D531" s="49">
        <v>20.0</v>
      </c>
      <c r="E531" s="51">
        <v>50.0</v>
      </c>
      <c r="F531" s="27">
        <v>53.733</v>
      </c>
      <c r="G531" s="27">
        <v>74.2</v>
      </c>
      <c r="H531" s="27">
        <v>74.333</v>
      </c>
      <c r="I531" s="27">
        <v>86.667</v>
      </c>
    </row>
    <row r="532" ht="15.75" customHeight="1">
      <c r="B532" s="10" t="s">
        <v>654</v>
      </c>
      <c r="C532" s="10" t="s">
        <v>172</v>
      </c>
      <c r="D532" s="49">
        <v>10.0</v>
      </c>
      <c r="E532" s="51">
        <v>20.0</v>
      </c>
      <c r="F532" s="27">
        <v>41.867</v>
      </c>
      <c r="G532" s="27">
        <v>42.067</v>
      </c>
      <c r="H532" s="27">
        <v>42.067</v>
      </c>
      <c r="I532" s="27">
        <v>42.6</v>
      </c>
    </row>
    <row r="533" ht="15.75" customHeight="1">
      <c r="B533" s="10" t="s">
        <v>655</v>
      </c>
      <c r="C533" s="10" t="s">
        <v>178</v>
      </c>
      <c r="D533" s="49">
        <v>14.0</v>
      </c>
      <c r="E533" s="51">
        <v>40.0</v>
      </c>
      <c r="F533" s="27">
        <v>21.071</v>
      </c>
      <c r="G533" s="27">
        <v>56.524</v>
      </c>
      <c r="H533" s="27">
        <v>65.881</v>
      </c>
      <c r="I533" s="27">
        <v>66.024</v>
      </c>
    </row>
    <row r="534" ht="15.75" customHeight="1">
      <c r="B534" s="10" t="s">
        <v>656</v>
      </c>
      <c r="C534" s="10" t="s">
        <v>184</v>
      </c>
      <c r="D534" s="49">
        <v>12.0</v>
      </c>
      <c r="E534" s="51">
        <v>30.0</v>
      </c>
      <c r="F534" s="27">
        <v>32.744</v>
      </c>
      <c r="G534" s="27">
        <v>47.228</v>
      </c>
      <c r="H534" s="27">
        <v>59.569</v>
      </c>
      <c r="I534" s="27">
        <v>59.597</v>
      </c>
    </row>
    <row r="535" ht="15.75" customHeight="1">
      <c r="B535" s="10" t="s">
        <v>657</v>
      </c>
      <c r="C535" s="10" t="s">
        <v>170</v>
      </c>
      <c r="D535" s="49">
        <v>18.0</v>
      </c>
      <c r="E535" s="51">
        <v>40.0</v>
      </c>
      <c r="F535" s="27">
        <v>3.709</v>
      </c>
      <c r="G535" s="27">
        <v>26.593</v>
      </c>
      <c r="H535" s="27">
        <v>33.41</v>
      </c>
      <c r="I535" s="27">
        <v>40.997</v>
      </c>
    </row>
    <row r="536" ht="15.75" customHeight="1">
      <c r="B536" s="10" t="s">
        <v>658</v>
      </c>
      <c r="C536" s="10" t="s">
        <v>177</v>
      </c>
      <c r="D536" s="49">
        <v>13.0</v>
      </c>
      <c r="E536" s="51">
        <v>50.0</v>
      </c>
      <c r="F536" s="27">
        <v>43.538</v>
      </c>
      <c r="G536" s="27">
        <v>62.846</v>
      </c>
      <c r="H536" s="27">
        <v>62.949</v>
      </c>
      <c r="I536" s="27">
        <v>63.077</v>
      </c>
    </row>
    <row r="537" ht="15.75" customHeight="1">
      <c r="B537" s="10" t="s">
        <v>659</v>
      </c>
      <c r="C537" s="10" t="s">
        <v>660</v>
      </c>
      <c r="D537" s="49">
        <v>26.0</v>
      </c>
      <c r="E537" s="51">
        <v>40.0</v>
      </c>
      <c r="F537" s="27">
        <v>63.705</v>
      </c>
      <c r="G537" s="27">
        <v>83.474</v>
      </c>
      <c r="H537" s="27">
        <v>88.333</v>
      </c>
      <c r="I537" s="27">
        <v>93.115</v>
      </c>
    </row>
    <row r="538" ht="15.75" customHeight="1">
      <c r="B538" s="10" t="s">
        <v>661</v>
      </c>
      <c r="C538" s="10" t="s">
        <v>172</v>
      </c>
      <c r="D538" s="49">
        <v>18.0</v>
      </c>
      <c r="E538" s="51">
        <v>90.0</v>
      </c>
      <c r="F538" s="27">
        <v>24.647</v>
      </c>
      <c r="G538" s="27">
        <v>39.392</v>
      </c>
      <c r="H538" s="27">
        <v>61.529</v>
      </c>
      <c r="I538" s="27">
        <v>69.412</v>
      </c>
    </row>
    <row r="539" ht="15.75" customHeight="1">
      <c r="B539" s="10" t="s">
        <v>662</v>
      </c>
      <c r="C539" s="10" t="s">
        <v>185</v>
      </c>
      <c r="D539" s="49">
        <v>45.0</v>
      </c>
      <c r="E539" s="51">
        <v>50.0</v>
      </c>
      <c r="F539" s="27">
        <v>65.461</v>
      </c>
      <c r="G539" s="27">
        <v>83.475</v>
      </c>
      <c r="H539" s="27">
        <v>83.63</v>
      </c>
      <c r="I539" s="27">
        <v>83.83</v>
      </c>
    </row>
    <row r="540" ht="15.75" customHeight="1">
      <c r="B540" s="10" t="s">
        <v>664</v>
      </c>
      <c r="C540" s="10" t="s">
        <v>174</v>
      </c>
      <c r="D540" s="49">
        <v>18.0</v>
      </c>
      <c r="E540" s="51">
        <v>50.0</v>
      </c>
      <c r="F540" s="27">
        <v>33.201</v>
      </c>
      <c r="G540" s="27">
        <v>77.76</v>
      </c>
      <c r="H540" s="27">
        <v>92.538</v>
      </c>
      <c r="I540" s="27">
        <v>93.037</v>
      </c>
    </row>
    <row r="541" ht="15.75" customHeight="1">
      <c r="B541" s="10" t="s">
        <v>665</v>
      </c>
      <c r="C541" s="10" t="s">
        <v>666</v>
      </c>
      <c r="D541" s="49">
        <v>14.0</v>
      </c>
      <c r="E541" s="51">
        <v>50.0</v>
      </c>
      <c r="F541" s="27">
        <v>11.143</v>
      </c>
      <c r="G541" s="27">
        <v>46.81</v>
      </c>
      <c r="H541" s="27">
        <v>55.643</v>
      </c>
      <c r="I541" s="27">
        <v>56.714</v>
      </c>
    </row>
    <row r="542" ht="15.75" customHeight="1">
      <c r="B542" s="10" t="s">
        <v>667</v>
      </c>
      <c r="C542" s="10" t="s">
        <v>174</v>
      </c>
      <c r="D542" s="49">
        <v>15.0</v>
      </c>
      <c r="E542" s="51">
        <v>90.0</v>
      </c>
      <c r="F542" s="27">
        <v>-0.267</v>
      </c>
      <c r="G542" s="27">
        <v>-0.267</v>
      </c>
      <c r="H542" s="27">
        <v>41.222</v>
      </c>
      <c r="I542" s="27">
        <v>58.0</v>
      </c>
    </row>
    <row r="543" ht="15.75" customHeight="1">
      <c r="B543" s="10" t="s">
        <v>668</v>
      </c>
      <c r="C543" s="10" t="s">
        <v>171</v>
      </c>
      <c r="D543" s="49">
        <v>30.0</v>
      </c>
      <c r="E543" s="51">
        <v>60.0</v>
      </c>
      <c r="F543" s="27">
        <v>21.211</v>
      </c>
      <c r="G543" s="27">
        <v>38.089</v>
      </c>
      <c r="H543" s="27">
        <v>42.311</v>
      </c>
      <c r="I543" s="27">
        <v>46.522</v>
      </c>
    </row>
    <row r="544" ht="15.75" customHeight="1">
      <c r="B544" s="10" t="s">
        <v>669</v>
      </c>
      <c r="C544" s="10" t="s">
        <v>174</v>
      </c>
      <c r="D544" s="49">
        <v>16.0</v>
      </c>
      <c r="E544" s="51">
        <v>40.0</v>
      </c>
      <c r="F544" s="27">
        <v>16.119</v>
      </c>
      <c r="G544" s="27">
        <v>24.385</v>
      </c>
      <c r="H544" s="27">
        <v>24.385</v>
      </c>
      <c r="I544" s="27">
        <v>32.578</v>
      </c>
    </row>
    <row r="545" ht="15.75" customHeight="1">
      <c r="B545" s="10" t="s">
        <v>670</v>
      </c>
      <c r="C545" s="10" t="s">
        <v>172</v>
      </c>
      <c r="D545" s="49">
        <v>12.0</v>
      </c>
      <c r="E545" s="51">
        <v>40.0</v>
      </c>
      <c r="F545" s="27">
        <v>18.528</v>
      </c>
      <c r="G545" s="27">
        <v>50.167</v>
      </c>
      <c r="H545" s="27">
        <v>50.167</v>
      </c>
      <c r="I545" s="27">
        <v>50.167</v>
      </c>
    </row>
    <row r="546" ht="15.75" customHeight="1">
      <c r="B546" s="10" t="s">
        <v>671</v>
      </c>
      <c r="C546" s="10" t="s">
        <v>174</v>
      </c>
      <c r="D546" s="49">
        <v>10.0</v>
      </c>
      <c r="E546" s="51">
        <v>75.0</v>
      </c>
      <c r="F546" s="27">
        <v>3.633</v>
      </c>
      <c r="G546" s="27">
        <v>41.6</v>
      </c>
      <c r="H546" s="27">
        <v>54.267</v>
      </c>
      <c r="I546" s="27">
        <v>55.1</v>
      </c>
    </row>
    <row r="547" ht="15.75" customHeight="1">
      <c r="B547" s="10" t="s">
        <v>672</v>
      </c>
      <c r="C547" s="10" t="s">
        <v>180</v>
      </c>
      <c r="D547" s="49">
        <v>11.0</v>
      </c>
      <c r="E547" s="51">
        <v>30.0</v>
      </c>
      <c r="F547" s="27">
        <v>0.394</v>
      </c>
      <c r="G547" s="27">
        <v>12.303</v>
      </c>
      <c r="H547" s="27">
        <v>12.303</v>
      </c>
      <c r="I547" s="27">
        <v>12.303</v>
      </c>
    </row>
    <row r="548" ht="15.75" customHeight="1">
      <c r="B548" s="10" t="s">
        <v>673</v>
      </c>
      <c r="C548" s="10" t="s">
        <v>166</v>
      </c>
      <c r="D548" s="49">
        <v>22.0</v>
      </c>
      <c r="E548" s="51">
        <v>50.0</v>
      </c>
      <c r="F548" s="27">
        <v>45.652</v>
      </c>
      <c r="G548" s="27">
        <v>68.864</v>
      </c>
      <c r="H548" s="27">
        <v>68.864</v>
      </c>
      <c r="I548" s="27">
        <v>75.076</v>
      </c>
    </row>
    <row r="549" ht="15.75" customHeight="1">
      <c r="B549" s="10" t="s">
        <v>674</v>
      </c>
      <c r="C549" s="10" t="s">
        <v>660</v>
      </c>
      <c r="D549" s="49">
        <v>10.0</v>
      </c>
      <c r="E549" s="51">
        <v>30.0</v>
      </c>
      <c r="F549" s="27">
        <v>37.132</v>
      </c>
      <c r="G549" s="27">
        <v>91.267</v>
      </c>
      <c r="H549" s="27">
        <v>91.271</v>
      </c>
      <c r="I549" s="27">
        <v>91.4</v>
      </c>
    </row>
    <row r="550" ht="15.75" customHeight="1">
      <c r="B550" s="10" t="s">
        <v>675</v>
      </c>
      <c r="C550" s="10" t="s">
        <v>178</v>
      </c>
      <c r="D550" s="49">
        <v>13.0</v>
      </c>
      <c r="E550" s="51">
        <v>40.0</v>
      </c>
      <c r="F550" s="27">
        <v>34.641</v>
      </c>
      <c r="G550" s="27">
        <v>44.718</v>
      </c>
      <c r="H550" s="27">
        <v>44.744</v>
      </c>
      <c r="I550" s="27">
        <v>64.333</v>
      </c>
    </row>
    <row r="551" ht="15.75" customHeight="1">
      <c r="B551" s="10" t="s">
        <v>676</v>
      </c>
      <c r="C551" s="10" t="s">
        <v>602</v>
      </c>
      <c r="D551" s="49">
        <v>10.0</v>
      </c>
      <c r="E551" s="51">
        <v>100.0</v>
      </c>
      <c r="F551" s="27">
        <v>-21.067</v>
      </c>
      <c r="G551" s="27">
        <v>-21.067</v>
      </c>
      <c r="H551" s="27">
        <v>4.433</v>
      </c>
      <c r="I551" s="27">
        <v>4.433</v>
      </c>
    </row>
    <row r="552" ht="15.75" customHeight="1">
      <c r="B552" s="10" t="s">
        <v>677</v>
      </c>
      <c r="C552" s="10" t="s">
        <v>174</v>
      </c>
      <c r="D552" s="49">
        <v>22.0</v>
      </c>
      <c r="E552" s="51">
        <v>20.0</v>
      </c>
      <c r="F552" s="27">
        <v>85.232</v>
      </c>
      <c r="G552" s="27">
        <v>84.191</v>
      </c>
      <c r="H552" s="27">
        <v>84.29</v>
      </c>
      <c r="I552" s="27">
        <v>84.29</v>
      </c>
    </row>
    <row r="553" ht="15.75" customHeight="1">
      <c r="B553" s="10" t="s">
        <v>678</v>
      </c>
      <c r="C553" s="10" t="s">
        <v>171</v>
      </c>
      <c r="D553" s="49">
        <v>10.0</v>
      </c>
      <c r="E553" s="51">
        <v>90.0</v>
      </c>
      <c r="F553" s="27">
        <v>13.542</v>
      </c>
      <c r="G553" s="27">
        <v>13.625</v>
      </c>
      <c r="H553" s="27">
        <v>45.083</v>
      </c>
      <c r="I553" s="27">
        <v>60.75</v>
      </c>
    </row>
    <row r="554" ht="15.75" customHeight="1">
      <c r="B554" s="10" t="s">
        <v>679</v>
      </c>
      <c r="C554" s="10" t="s">
        <v>183</v>
      </c>
      <c r="D554" s="49">
        <v>12.0</v>
      </c>
      <c r="E554" s="51">
        <v>125.0</v>
      </c>
      <c r="F554" s="27">
        <v>23.182</v>
      </c>
      <c r="G554" s="27">
        <v>34.848</v>
      </c>
      <c r="H554" s="27">
        <v>69.152</v>
      </c>
      <c r="I554" s="27">
        <v>80.455</v>
      </c>
    </row>
    <row r="555" ht="15.75" customHeight="1">
      <c r="B555" s="10" t="s">
        <v>680</v>
      </c>
      <c r="C555" s="10" t="s">
        <v>166</v>
      </c>
      <c r="D555" s="49">
        <v>69.0</v>
      </c>
      <c r="E555" s="51">
        <v>30.0</v>
      </c>
      <c r="F555" s="27">
        <v>88.029</v>
      </c>
      <c r="G555" s="27">
        <v>93.09</v>
      </c>
      <c r="H555" s="27">
        <v>93.303</v>
      </c>
      <c r="I555" s="27">
        <v>93.356</v>
      </c>
    </row>
    <row r="556" ht="15.75" customHeight="1">
      <c r="B556" s="10" t="s">
        <v>681</v>
      </c>
      <c r="C556" s="10" t="s">
        <v>171</v>
      </c>
      <c r="D556" s="49">
        <v>55.0</v>
      </c>
      <c r="E556" s="51">
        <v>40.0</v>
      </c>
      <c r="F556" s="27">
        <v>43.895</v>
      </c>
      <c r="G556" s="27">
        <v>71.901</v>
      </c>
      <c r="H556" s="27">
        <v>87.914</v>
      </c>
      <c r="I556" s="27">
        <v>90.438</v>
      </c>
    </row>
    <row r="557" ht="15.75" customHeight="1">
      <c r="B557" s="10" t="s">
        <v>682</v>
      </c>
      <c r="C557" s="10" t="s">
        <v>184</v>
      </c>
      <c r="D557" s="49">
        <v>10.0</v>
      </c>
      <c r="E557" s="51">
        <v>30.0</v>
      </c>
      <c r="F557" s="27">
        <v>16.8</v>
      </c>
      <c r="G557" s="27">
        <v>29.5</v>
      </c>
      <c r="H557" s="27">
        <v>29.7</v>
      </c>
      <c r="I557" s="27">
        <v>29.7</v>
      </c>
    </row>
    <row r="558" ht="15.75" customHeight="1">
      <c r="B558" s="10" t="s">
        <v>683</v>
      </c>
      <c r="C558" s="10" t="s">
        <v>172</v>
      </c>
      <c r="D558" s="49">
        <v>25.0</v>
      </c>
      <c r="E558" s="51">
        <v>40.0</v>
      </c>
      <c r="F558" s="27">
        <v>75.183</v>
      </c>
      <c r="G558" s="27">
        <v>80.98</v>
      </c>
      <c r="H558" s="27">
        <v>80.722</v>
      </c>
      <c r="I558" s="27">
        <v>93.28</v>
      </c>
    </row>
    <row r="559" ht="15.75" customHeight="1">
      <c r="B559" s="10" t="s">
        <v>684</v>
      </c>
      <c r="C559" s="10" t="s">
        <v>174</v>
      </c>
      <c r="D559" s="49">
        <v>37.0</v>
      </c>
      <c r="E559" s="51">
        <v>40.0</v>
      </c>
      <c r="F559" s="27">
        <v>58.514</v>
      </c>
      <c r="G559" s="27">
        <v>71.586</v>
      </c>
      <c r="H559" s="27">
        <v>74.838</v>
      </c>
      <c r="I559" s="27">
        <v>82.27</v>
      </c>
    </row>
    <row r="560" ht="15.75" customHeight="1">
      <c r="B560" s="10" t="s">
        <v>685</v>
      </c>
      <c r="C560" s="10" t="s">
        <v>182</v>
      </c>
      <c r="D560" s="49">
        <v>12.0</v>
      </c>
      <c r="E560" s="51">
        <v>90.0</v>
      </c>
      <c r="F560" s="27">
        <v>23.381</v>
      </c>
      <c r="G560" s="27">
        <v>35.175</v>
      </c>
      <c r="H560" s="27">
        <v>46.642</v>
      </c>
      <c r="I560" s="27">
        <v>46.642</v>
      </c>
    </row>
    <row r="561" ht="15.75" customHeight="1">
      <c r="B561" s="10" t="s">
        <v>686</v>
      </c>
      <c r="C561" s="10" t="s">
        <v>174</v>
      </c>
      <c r="D561" s="49">
        <v>12.0</v>
      </c>
      <c r="E561" s="51">
        <v>90.0</v>
      </c>
      <c r="F561" s="27">
        <v>-2.278</v>
      </c>
      <c r="G561" s="27">
        <v>8.361</v>
      </c>
      <c r="H561" s="27">
        <v>19.821</v>
      </c>
      <c r="I561" s="27">
        <v>19.821</v>
      </c>
    </row>
    <row r="562" ht="15.75" customHeight="1">
      <c r="B562" s="10" t="s">
        <v>687</v>
      </c>
      <c r="C562" s="10" t="s">
        <v>166</v>
      </c>
      <c r="D562" s="49">
        <v>11.0</v>
      </c>
      <c r="E562" s="51">
        <v>25.0</v>
      </c>
      <c r="F562" s="27">
        <v>69.091</v>
      </c>
      <c r="G562" s="27">
        <v>69.394</v>
      </c>
      <c r="H562" s="27">
        <v>69.394</v>
      </c>
      <c r="I562" s="27">
        <v>69.939</v>
      </c>
    </row>
    <row r="563" ht="15.75" customHeight="1">
      <c r="B563" s="10" t="s">
        <v>688</v>
      </c>
      <c r="C563" s="10" t="s">
        <v>178</v>
      </c>
      <c r="D563" s="49">
        <v>15.0</v>
      </c>
      <c r="E563" s="51">
        <v>25.0</v>
      </c>
      <c r="F563" s="27">
        <v>55.026</v>
      </c>
      <c r="G563" s="27">
        <v>55.051</v>
      </c>
      <c r="H563" s="27">
        <v>55.051</v>
      </c>
      <c r="I563" s="27">
        <v>55.051</v>
      </c>
    </row>
    <row r="564" ht="15.75" customHeight="1">
      <c r="B564" s="10" t="s">
        <v>689</v>
      </c>
      <c r="C564" s="10" t="s">
        <v>180</v>
      </c>
      <c r="D564" s="49">
        <v>13.0</v>
      </c>
      <c r="E564" s="51">
        <v>50.0</v>
      </c>
      <c r="F564" s="27">
        <v>33.385</v>
      </c>
      <c r="G564" s="27">
        <v>72.179</v>
      </c>
      <c r="H564" s="27">
        <v>72.179</v>
      </c>
      <c r="I564" s="27">
        <v>82.487</v>
      </c>
    </row>
    <row r="565" ht="15.75" customHeight="1">
      <c r="B565" s="10" t="s">
        <v>690</v>
      </c>
      <c r="C565" s="10" t="s">
        <v>169</v>
      </c>
      <c r="D565" s="49">
        <v>24.0</v>
      </c>
      <c r="E565" s="51">
        <v>30.0</v>
      </c>
      <c r="F565" s="27">
        <v>60.597</v>
      </c>
      <c r="G565" s="27">
        <v>66.097</v>
      </c>
      <c r="H565" s="27">
        <v>66.694</v>
      </c>
      <c r="I565" s="27">
        <v>66.944</v>
      </c>
    </row>
    <row r="566" ht="15.75" customHeight="1">
      <c r="B566" s="10" t="s">
        <v>691</v>
      </c>
      <c r="C566" s="10" t="s">
        <v>181</v>
      </c>
      <c r="D566" s="49">
        <v>18.0</v>
      </c>
      <c r="E566" s="51">
        <v>30.0</v>
      </c>
      <c r="F566" s="27">
        <v>61.617</v>
      </c>
      <c r="G566" s="27">
        <v>76.494</v>
      </c>
      <c r="H566" s="27">
        <v>76.758</v>
      </c>
      <c r="I566" s="27">
        <v>76.618</v>
      </c>
    </row>
    <row r="567" ht="15.75" customHeight="1">
      <c r="B567" s="10" t="s">
        <v>692</v>
      </c>
      <c r="C567" s="10" t="s">
        <v>182</v>
      </c>
      <c r="D567" s="49">
        <v>16.0</v>
      </c>
      <c r="E567" s="51">
        <v>50.0</v>
      </c>
      <c r="F567" s="27">
        <v>21.646</v>
      </c>
      <c r="G567" s="27">
        <v>52.958</v>
      </c>
      <c r="H567" s="27">
        <v>53.0</v>
      </c>
      <c r="I567" s="27">
        <v>53.333</v>
      </c>
    </row>
    <row r="568" ht="15.75" customHeight="1">
      <c r="B568" s="10" t="s">
        <v>693</v>
      </c>
      <c r="C568" s="10" t="s">
        <v>169</v>
      </c>
      <c r="D568" s="49">
        <v>23.0</v>
      </c>
      <c r="E568" s="51">
        <v>20.0</v>
      </c>
      <c r="F568" s="27">
        <v>65.87</v>
      </c>
      <c r="G568" s="27">
        <v>71.333</v>
      </c>
      <c r="H568" s="27">
        <v>71.348</v>
      </c>
      <c r="I568" s="27">
        <v>71.58</v>
      </c>
    </row>
    <row r="569" ht="15.75" customHeight="1">
      <c r="B569" s="10" t="s">
        <v>694</v>
      </c>
      <c r="C569" s="10" t="s">
        <v>179</v>
      </c>
      <c r="D569" s="49">
        <v>14.0</v>
      </c>
      <c r="E569" s="51">
        <v>50.0</v>
      </c>
      <c r="F569" s="27">
        <v>55.024</v>
      </c>
      <c r="G569" s="27">
        <v>81.5</v>
      </c>
      <c r="H569" s="27">
        <v>81.667</v>
      </c>
      <c r="I569" s="27">
        <v>82.357</v>
      </c>
    </row>
    <row r="570" ht="15.75" customHeight="1">
      <c r="B570" s="10" t="s">
        <v>695</v>
      </c>
      <c r="C570" s="10" t="s">
        <v>696</v>
      </c>
      <c r="D570" s="49">
        <v>16.0</v>
      </c>
      <c r="E570" s="51">
        <v>30.0</v>
      </c>
      <c r="F570" s="27">
        <v>29.51</v>
      </c>
      <c r="G570" s="27">
        <v>37.375</v>
      </c>
      <c r="H570" s="27">
        <v>36.75</v>
      </c>
      <c r="I570" s="27">
        <v>44.667</v>
      </c>
    </row>
    <row r="571" ht="15.75" customHeight="1">
      <c r="B571" s="10" t="s">
        <v>697</v>
      </c>
      <c r="C571" s="10" t="s">
        <v>469</v>
      </c>
      <c r="D571" s="49">
        <v>12.0</v>
      </c>
      <c r="E571" s="51">
        <v>30.0</v>
      </c>
      <c r="F571" s="27">
        <v>28.944</v>
      </c>
      <c r="G571" s="27">
        <v>60.028</v>
      </c>
      <c r="H571" s="27">
        <v>70.194</v>
      </c>
      <c r="I571" s="27">
        <v>80.583</v>
      </c>
    </row>
    <row r="572" ht="15.75" customHeight="1">
      <c r="B572" s="10" t="s">
        <v>698</v>
      </c>
      <c r="C572" s="10" t="s">
        <v>166</v>
      </c>
      <c r="D572" s="49">
        <v>13.0</v>
      </c>
      <c r="E572" s="51">
        <v>20.0</v>
      </c>
      <c r="F572" s="27">
        <v>72.051</v>
      </c>
      <c r="G572" s="27">
        <v>72.103</v>
      </c>
      <c r="H572" s="27">
        <v>72.103</v>
      </c>
      <c r="I572" s="27">
        <v>82.359</v>
      </c>
    </row>
    <row r="573" ht="15.75" customHeight="1">
      <c r="B573" s="10" t="s">
        <v>699</v>
      </c>
      <c r="C573" s="10" t="s">
        <v>169</v>
      </c>
      <c r="D573" s="49">
        <v>12.0</v>
      </c>
      <c r="E573" s="51">
        <v>20.0</v>
      </c>
      <c r="F573" s="27">
        <v>28.889</v>
      </c>
      <c r="G573" s="27">
        <v>28.889</v>
      </c>
      <c r="H573" s="27">
        <v>28.889</v>
      </c>
      <c r="I573" s="27">
        <v>28.889</v>
      </c>
    </row>
    <row r="574" ht="15.75" customHeight="1">
      <c r="B574" s="10" t="s">
        <v>700</v>
      </c>
      <c r="C574" s="10" t="s">
        <v>167</v>
      </c>
      <c r="D574" s="49">
        <v>11.0</v>
      </c>
      <c r="E574" s="51">
        <v>90.0</v>
      </c>
      <c r="F574" s="27">
        <v>-11.091</v>
      </c>
      <c r="G574" s="27">
        <v>34.727</v>
      </c>
      <c r="H574" s="27">
        <v>69.091</v>
      </c>
      <c r="I574" s="27">
        <v>80.879</v>
      </c>
    </row>
    <row r="575" ht="15.75" customHeight="1">
      <c r="B575" s="10" t="s">
        <v>701</v>
      </c>
      <c r="C575" s="10" t="s">
        <v>541</v>
      </c>
      <c r="D575" s="49">
        <v>15.0</v>
      </c>
      <c r="E575" s="51">
        <v>40.0</v>
      </c>
      <c r="F575" s="27">
        <v>33.756</v>
      </c>
      <c r="G575" s="27">
        <v>42.4</v>
      </c>
      <c r="H575" s="27">
        <v>50.733</v>
      </c>
      <c r="I575" s="27">
        <v>76.044</v>
      </c>
    </row>
    <row r="576" ht="15.75" customHeight="1">
      <c r="B576" s="10" t="s">
        <v>702</v>
      </c>
      <c r="C576" s="10" t="s">
        <v>169</v>
      </c>
      <c r="D576" s="49">
        <v>10.0</v>
      </c>
      <c r="E576" s="51">
        <v>20.0</v>
      </c>
      <c r="F576" s="27">
        <v>66.367</v>
      </c>
      <c r="G576" s="27">
        <v>66.633</v>
      </c>
      <c r="H576" s="27">
        <v>66.633</v>
      </c>
      <c r="I576" s="27">
        <v>67.467</v>
      </c>
    </row>
    <row r="577" ht="15.75" customHeight="1">
      <c r="B577" s="10" t="s">
        <v>703</v>
      </c>
      <c r="C577" s="10" t="s">
        <v>175</v>
      </c>
      <c r="D577" s="49">
        <v>20.0</v>
      </c>
      <c r="E577" s="51">
        <v>40.0</v>
      </c>
      <c r="F577" s="27">
        <v>35.633</v>
      </c>
      <c r="G577" s="27">
        <v>54.167</v>
      </c>
      <c r="H577" s="27">
        <v>66.583</v>
      </c>
      <c r="I577" s="27">
        <v>73.217</v>
      </c>
    </row>
    <row r="578" ht="15.75" customHeight="1">
      <c r="B578" s="10" t="s">
        <v>704</v>
      </c>
      <c r="C578" s="10" t="s">
        <v>171</v>
      </c>
      <c r="D578" s="49">
        <v>14.0</v>
      </c>
      <c r="E578" s="51">
        <v>25.0</v>
      </c>
      <c r="F578" s="27">
        <v>38.405</v>
      </c>
      <c r="G578" s="27">
        <v>38.571</v>
      </c>
      <c r="H578" s="27">
        <v>38.571</v>
      </c>
      <c r="I578" s="27">
        <v>38.571</v>
      </c>
    </row>
    <row r="579" ht="15.75" customHeight="1">
      <c r="B579" s="10" t="s">
        <v>705</v>
      </c>
      <c r="C579" s="10" t="s">
        <v>183</v>
      </c>
      <c r="D579" s="49">
        <v>16.0</v>
      </c>
      <c r="E579" s="51">
        <v>60.0</v>
      </c>
      <c r="F579" s="27">
        <v>32.822</v>
      </c>
      <c r="G579" s="27">
        <v>57.911</v>
      </c>
      <c r="H579" s="27">
        <v>74.356</v>
      </c>
      <c r="I579" s="27">
        <v>74.356</v>
      </c>
    </row>
    <row r="580" ht="15.75" customHeight="1">
      <c r="B580" s="10" t="s">
        <v>706</v>
      </c>
      <c r="C580" s="10" t="s">
        <v>181</v>
      </c>
      <c r="D580" s="49">
        <v>12.0</v>
      </c>
      <c r="E580" s="51">
        <v>40.0</v>
      </c>
      <c r="F580" s="27">
        <v>-9.929</v>
      </c>
      <c r="G580" s="27">
        <v>15.059</v>
      </c>
      <c r="H580" s="27">
        <v>15.059</v>
      </c>
      <c r="I580" s="27">
        <v>15.772</v>
      </c>
    </row>
    <row r="581" ht="15.75" customHeight="1">
      <c r="B581" s="10" t="s">
        <v>707</v>
      </c>
      <c r="C581" s="10" t="s">
        <v>169</v>
      </c>
      <c r="D581" s="49">
        <v>14.0</v>
      </c>
      <c r="E581" s="51">
        <v>25.0</v>
      </c>
      <c r="F581" s="27">
        <v>72.723</v>
      </c>
      <c r="G581" s="27">
        <v>72.747</v>
      </c>
      <c r="H581" s="27">
        <v>82.721</v>
      </c>
      <c r="I581" s="27">
        <v>92.517</v>
      </c>
    </row>
    <row r="582" ht="15.75" customHeight="1">
      <c r="B582" s="10" t="s">
        <v>708</v>
      </c>
      <c r="C582" s="10" t="s">
        <v>174</v>
      </c>
      <c r="D582" s="49">
        <v>11.0</v>
      </c>
      <c r="E582" s="51">
        <v>25.0</v>
      </c>
      <c r="F582" s="27">
        <v>41.567</v>
      </c>
      <c r="G582" s="27">
        <v>41.767</v>
      </c>
      <c r="H582" s="27">
        <v>41.833</v>
      </c>
      <c r="I582" s="27">
        <v>41.833</v>
      </c>
    </row>
    <row r="583" ht="15.75" customHeight="1">
      <c r="B583" s="10" t="s">
        <v>709</v>
      </c>
      <c r="C583" s="10" t="s">
        <v>166</v>
      </c>
      <c r="D583" s="49">
        <v>11.0</v>
      </c>
      <c r="E583" s="51">
        <v>20.0</v>
      </c>
      <c r="F583" s="27">
        <v>57.424</v>
      </c>
      <c r="G583" s="27">
        <v>57.424</v>
      </c>
      <c r="H583" s="27">
        <v>57.424</v>
      </c>
      <c r="I583" s="27">
        <v>57.424</v>
      </c>
    </row>
    <row r="584" ht="15.75" customHeight="1">
      <c r="B584" s="10" t="s">
        <v>710</v>
      </c>
      <c r="C584" s="10" t="s">
        <v>166</v>
      </c>
      <c r="D584" s="49">
        <v>12.0</v>
      </c>
      <c r="E584" s="51">
        <v>30.0</v>
      </c>
      <c r="F584" s="27">
        <v>40.472</v>
      </c>
      <c r="G584" s="27">
        <v>51.028</v>
      </c>
      <c r="H584" s="27">
        <v>51.028</v>
      </c>
      <c r="I584" s="27">
        <v>81.417</v>
      </c>
    </row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1">
    <mergeCell ref="D15:I15"/>
    <mergeCell ref="D16:I16"/>
    <mergeCell ref="D17:I17"/>
    <mergeCell ref="D18:I18"/>
    <mergeCell ref="D8:I8"/>
    <mergeCell ref="D9:I9"/>
    <mergeCell ref="D10:I10"/>
    <mergeCell ref="D11:I11"/>
    <mergeCell ref="D12:I12"/>
    <mergeCell ref="D13:I13"/>
    <mergeCell ref="D14:I14"/>
  </mergeCells>
  <conditionalFormatting sqref="K150:K169">
    <cfRule type="cellIs" dxfId="0" priority="1" operator="equal">
      <formula>"Yes"</formula>
    </cfRule>
  </conditionalFormatting>
  <conditionalFormatting sqref="I288:I307">
    <cfRule type="cellIs" dxfId="0" priority="2" operator="equal">
      <formula>"Yes"</formula>
    </cfRule>
  </conditionalFormatting>
  <conditionalFormatting sqref="I288:I307">
    <cfRule type="cellIs" dxfId="1" priority="3" operator="equal">
      <formula>"No"</formula>
    </cfRule>
  </conditionalFormatting>
  <conditionalFormatting sqref="F351:F366">
    <cfRule type="cellIs" dxfId="0" priority="4" operator="equal">
      <formula>"inside"</formula>
    </cfRule>
  </conditionalFormatting>
  <conditionalFormatting sqref="F351:F366">
    <cfRule type="cellIs" dxfId="2" priority="5" operator="equal">
      <formula>"outside"</formula>
    </cfRule>
  </conditionalFormatting>
  <printOptions/>
  <pageMargins bottom="1.0" footer="0.0" header="0.0" left="0.75" right="0.75" top="1.0"/>
  <pageSetup fitToHeight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478C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7.14"/>
    <col customWidth="1" min="3" max="3" width="19.0"/>
    <col customWidth="1" min="4" max="19" width="11.43"/>
    <col customWidth="1" min="20" max="20" width="3.0"/>
    <col customWidth="1" min="21" max="33" width="10.0"/>
    <col customWidth="1" min="34" max="53" width="13.0"/>
  </cols>
  <sheetData>
    <row r="2" ht="30.0" customHeight="1">
      <c r="B2" s="1" t="s">
        <v>0</v>
      </c>
    </row>
    <row r="3">
      <c r="B3" s="2" t="s">
        <v>1</v>
      </c>
    </row>
    <row r="5" ht="21.75" customHeight="1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B6" s="5" t="s">
        <v>3</v>
      </c>
    </row>
    <row r="8" ht="21.75" customHeight="1">
      <c r="B8" s="6" t="s">
        <v>4</v>
      </c>
      <c r="C8" s="6" t="s">
        <v>5</v>
      </c>
      <c r="D8" s="7" t="s">
        <v>6</v>
      </c>
      <c r="E8" s="8"/>
      <c r="F8" s="8"/>
      <c r="G8" s="8"/>
      <c r="H8" s="8"/>
      <c r="I8" s="8"/>
      <c r="J8" s="8"/>
      <c r="K8" s="9"/>
    </row>
    <row r="9">
      <c r="B9" s="10" t="s">
        <v>7</v>
      </c>
      <c r="C9" s="11">
        <f>$E$160</f>
        <v>21</v>
      </c>
      <c r="D9" s="5" t="s">
        <v>8</v>
      </c>
      <c r="AK9" s="12" t="s">
        <v>9</v>
      </c>
    </row>
    <row r="10">
      <c r="B10" s="10" t="s">
        <v>10</v>
      </c>
      <c r="C10" s="11">
        <f>$K$190</f>
        <v>15</v>
      </c>
      <c r="D10" s="5" t="s">
        <v>11</v>
      </c>
      <c r="AJ10" s="12" t="s">
        <v>12</v>
      </c>
      <c r="AK10" s="13">
        <f>$E$160</f>
        <v>21</v>
      </c>
    </row>
    <row r="11">
      <c r="B11" s="10" t="s">
        <v>13</v>
      </c>
      <c r="C11" s="11">
        <f>$E$210</f>
        <v>17</v>
      </c>
      <c r="D11" s="5" t="s">
        <v>14</v>
      </c>
      <c r="AJ11" s="12" t="s">
        <v>15</v>
      </c>
      <c r="AK11" s="13">
        <f>$K$190</f>
        <v>15</v>
      </c>
    </row>
    <row r="12">
      <c r="B12" s="10" t="s">
        <v>16</v>
      </c>
      <c r="C12" s="11">
        <f>ROUND(AVERAGE(C9:C11),0)</f>
        <v>18</v>
      </c>
      <c r="D12" s="5" t="s">
        <v>17</v>
      </c>
      <c r="AJ12" s="12" t="s">
        <v>18</v>
      </c>
      <c r="AK12" s="13">
        <f>$E$210</f>
        <v>17</v>
      </c>
    </row>
    <row r="13" ht="19.5" customHeight="1">
      <c r="B13" s="14" t="s">
        <v>19</v>
      </c>
      <c r="C13" s="15">
        <f>MAX(C9:C11)</f>
        <v>21</v>
      </c>
      <c r="D13" s="5" t="s">
        <v>20</v>
      </c>
      <c r="AJ13" s="12" t="s">
        <v>21</v>
      </c>
      <c r="AK13" s="13">
        <f t="shared" ref="AK13:AK14" si="1">C12</f>
        <v>18</v>
      </c>
    </row>
    <row r="14">
      <c r="B14" s="10" t="s">
        <v>22</v>
      </c>
      <c r="C14" s="11">
        <f>$D$255</f>
        <v>25</v>
      </c>
      <c r="D14" s="5" t="s">
        <v>23</v>
      </c>
      <c r="AJ14" s="12" t="s">
        <v>24</v>
      </c>
      <c r="AK14" s="13">
        <f t="shared" si="1"/>
        <v>21</v>
      </c>
    </row>
    <row r="15">
      <c r="B15" s="10" t="s">
        <v>25</v>
      </c>
      <c r="C15" s="16" t="str">
        <f>"min("&amp;TEXT(C13,"0")&amp;" d, own room)"</f>
        <v>min(21 d, own room)</v>
      </c>
      <c r="D15" s="5" t="s">
        <v>26</v>
      </c>
    </row>
    <row r="16">
      <c r="B16" s="10" t="s">
        <v>27</v>
      </c>
      <c r="C16" s="16" t="str">
        <f>TEXT($G$98,"0%")&amp;" / "&amp;TEXT($H$98,"0%")&amp;" / "&amp;TEXT($I$98,"0%")</f>
        <v>72% / 76% / 75%</v>
      </c>
      <c r="D16" s="5" t="s">
        <v>29</v>
      </c>
    </row>
    <row r="17">
      <c r="B17" s="10" t="s">
        <v>31</v>
      </c>
      <c r="C17" s="16" t="str">
        <f>TEXT($E$107,"₹0.00")&amp;" → "&amp;TEXT($E$110,"₹0.00")&amp;"  ("&amp;TEXT($E$113,"0.0")&amp;"× less)"</f>
        <v>₹0.26 → ₹0.06  (4.3× less)</v>
      </c>
      <c r="D17" s="5" t="s">
        <v>32</v>
      </c>
    </row>
    <row r="18">
      <c r="B18" s="10" t="s">
        <v>33</v>
      </c>
      <c r="C18" s="16" t="str">
        <f>TEXT($C$100,"0.0%")&amp;" vs "&amp;TEXT($P$100,"0.0%")</f>
        <v>26.7% vs 33.6%</v>
      </c>
      <c r="D18" s="5" t="s">
        <v>34</v>
      </c>
    </row>
    <row r="19">
      <c r="B19" s="10" t="s">
        <v>35</v>
      </c>
      <c r="C19" s="16" t="str">
        <f>$K$284</f>
        <v>20 of 20</v>
      </c>
      <c r="D19" s="5" t="s">
        <v>37</v>
      </c>
    </row>
    <row r="20" ht="15.75" customHeight="1"/>
    <row r="21" ht="21.75" customHeight="1">
      <c r="B21" s="3" t="s">
        <v>38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5.75" customHeight="1">
      <c r="B22" s="5" t="s">
        <v>39</v>
      </c>
    </row>
    <row r="23" ht="15.75" customHeight="1"/>
    <row r="24" ht="19.5" customHeight="1">
      <c r="B24" s="6" t="s">
        <v>42</v>
      </c>
      <c r="C24" s="6" t="s">
        <v>5</v>
      </c>
      <c r="D24" s="6" t="s">
        <v>43</v>
      </c>
    </row>
    <row r="25" ht="15.75" customHeight="1">
      <c r="B25" s="10" t="s">
        <v>46</v>
      </c>
      <c r="C25" s="19">
        <f>'Distance (70 km)'!$C$24</f>
        <v>50</v>
      </c>
      <c r="D25" s="20" t="s">
        <v>48</v>
      </c>
    </row>
    <row r="26" ht="15.75" customHeight="1">
      <c r="B26" s="10" t="s">
        <v>49</v>
      </c>
      <c r="C26" s="19">
        <f>'Distance (70 km)'!$C$25</f>
        <v>120</v>
      </c>
      <c r="D26" s="20" t="s">
        <v>48</v>
      </c>
    </row>
    <row r="27" ht="15.75" customHeight="1">
      <c r="B27" s="10" t="s">
        <v>52</v>
      </c>
      <c r="C27" s="19">
        <f>'Distance (70 km)'!$C$26</f>
        <v>170</v>
      </c>
      <c r="D27" s="20" t="s">
        <v>48</v>
      </c>
    </row>
    <row r="28" ht="15.75" customHeight="1">
      <c r="B28" s="10" t="s">
        <v>53</v>
      </c>
      <c r="C28" s="19">
        <f>'Distance (70 km)'!$C$30</f>
        <v>25</v>
      </c>
      <c r="D28" s="20" t="s">
        <v>48</v>
      </c>
    </row>
    <row r="29" ht="15.75" customHeight="1">
      <c r="B29" s="10" t="s">
        <v>54</v>
      </c>
      <c r="C29" s="22">
        <f>'Distance (70 km)'!$C$32</f>
        <v>0.3333333333</v>
      </c>
      <c r="D29" s="20" t="s">
        <v>55</v>
      </c>
    </row>
    <row r="30" ht="15.75" customHeight="1"/>
    <row r="31" ht="15.75" customHeight="1">
      <c r="B31" s="5" t="s">
        <v>56</v>
      </c>
    </row>
    <row r="32" ht="15.75" customHeight="1"/>
    <row r="33" ht="21.75" customHeight="1">
      <c r="B33" s="3" t="s">
        <v>58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15.75" customHeight="1">
      <c r="B34" s="5" t="s">
        <v>59</v>
      </c>
    </row>
    <row r="35" ht="15.75" customHeight="1"/>
    <row r="36" ht="45.75" customHeight="1">
      <c r="B36" s="6" t="s">
        <v>60</v>
      </c>
      <c r="C36" s="6" t="s">
        <v>61</v>
      </c>
      <c r="D36" s="6" t="s">
        <v>62</v>
      </c>
      <c r="E36" s="6" t="s">
        <v>63</v>
      </c>
      <c r="F36" s="6" t="s">
        <v>64</v>
      </c>
      <c r="G36" s="6" t="s">
        <v>65</v>
      </c>
      <c r="H36" s="6" t="s">
        <v>66</v>
      </c>
      <c r="I36" s="6" t="s">
        <v>67</v>
      </c>
      <c r="J36" s="6" t="s">
        <v>68</v>
      </c>
      <c r="K36" s="6" t="s">
        <v>69</v>
      </c>
      <c r="L36" s="6" t="s">
        <v>71</v>
      </c>
      <c r="M36" s="6" t="s">
        <v>72</v>
      </c>
      <c r="N36" s="6" t="s">
        <v>73</v>
      </c>
      <c r="O36" s="6" t="s">
        <v>74</v>
      </c>
      <c r="P36" s="6" t="s">
        <v>75</v>
      </c>
      <c r="Q36" s="6" t="s">
        <v>76</v>
      </c>
      <c r="R36" s="6" t="s">
        <v>77</v>
      </c>
    </row>
    <row r="37" ht="15.75" customHeight="1">
      <c r="B37" s="24">
        <v>1.0</v>
      </c>
      <c r="C37" s="26">
        <f t="shared" ref="C37:C96" si="3">($C$28+$C$29*B37)/$C$26</f>
        <v>0.2111111111</v>
      </c>
      <c r="D37" s="27">
        <v>-0.1097</v>
      </c>
      <c r="E37" s="27">
        <v>0.0829</v>
      </c>
      <c r="F37" s="27">
        <v>-0.1804</v>
      </c>
      <c r="G37" s="26">
        <f t="shared" ref="G37:I37" si="2">D37/D$96</f>
        <v>-0.01993458114</v>
      </c>
      <c r="H37" s="26">
        <f t="shared" si="2"/>
        <v>0.002546287764</v>
      </c>
      <c r="I37" s="26">
        <f t="shared" si="2"/>
        <v>-0.01065645915</v>
      </c>
      <c r="J37" s="29"/>
      <c r="K37" s="29"/>
      <c r="L37" s="29"/>
      <c r="M37" s="30">
        <f t="shared" ref="M37:M96" si="6">(D37-MIN(D$37:D$96))/(MAX(D$37:D$96)-MIN(D$37:D$96))-(B37-1)/59</f>
        <v>0</v>
      </c>
      <c r="N37" s="30">
        <f t="shared" ref="N37:N96" si="7">(E37-MIN(E$37:E$96))/(MAX(E$37:E$96)-MIN(E$37:E$96))-(B37-1)/59</f>
        <v>0</v>
      </c>
      <c r="O37" s="30">
        <f t="shared" ref="O37:O96" si="8">(F37-MIN(F$37:F$96))/(MAX(F$37:F$96)-MIN(F$37:F$96))-(B37-1)/59</f>
        <v>0</v>
      </c>
      <c r="P37" s="32">
        <v>0.048</v>
      </c>
      <c r="Q37" s="32">
        <v>0.1078</v>
      </c>
      <c r="R37" s="32">
        <v>0.0639</v>
      </c>
    </row>
    <row r="38" ht="15.75" customHeight="1">
      <c r="B38" s="24">
        <v>2.0</v>
      </c>
      <c r="C38" s="26">
        <f t="shared" si="3"/>
        <v>0.2138888889</v>
      </c>
      <c r="D38" s="27">
        <v>0.105</v>
      </c>
      <c r="E38" s="27">
        <v>3.1269</v>
      </c>
      <c r="F38" s="27">
        <v>0.83</v>
      </c>
      <c r="G38" s="26">
        <f t="shared" ref="G38:I38" si="4">D38/D$96</f>
        <v>0.01908050154</v>
      </c>
      <c r="H38" s="26">
        <f t="shared" si="4"/>
        <v>0.09604327153</v>
      </c>
      <c r="I38" s="26">
        <f t="shared" si="4"/>
        <v>0.04902916349</v>
      </c>
      <c r="J38" s="29">
        <f t="shared" ref="J38:L38" si="5">D38-D37</f>
        <v>0.2147</v>
      </c>
      <c r="K38" s="29">
        <f t="shared" si="5"/>
        <v>3.044</v>
      </c>
      <c r="L38" s="29">
        <f t="shared" si="5"/>
        <v>1.0104</v>
      </c>
      <c r="M38" s="30">
        <f t="shared" si="6"/>
        <v>0.02130338189</v>
      </c>
      <c r="N38" s="30">
        <f t="shared" si="7"/>
        <v>0.0767865092</v>
      </c>
      <c r="O38" s="30">
        <f t="shared" si="8"/>
        <v>0.04210713914</v>
      </c>
      <c r="P38" s="32">
        <v>0.0798</v>
      </c>
      <c r="Q38" s="32">
        <v>0.1652</v>
      </c>
      <c r="R38" s="32">
        <v>0.1047</v>
      </c>
    </row>
    <row r="39" ht="15.75" customHeight="1">
      <c r="B39" s="24">
        <v>3.0</v>
      </c>
      <c r="C39" s="26">
        <f t="shared" si="3"/>
        <v>0.2166666667</v>
      </c>
      <c r="D39" s="27">
        <v>0.3447</v>
      </c>
      <c r="E39" s="27">
        <v>6.7644</v>
      </c>
      <c r="F39" s="27">
        <v>1.7037</v>
      </c>
      <c r="G39" s="26">
        <f t="shared" ref="G39:I39" si="9">D39/D$96</f>
        <v>0.06263856079</v>
      </c>
      <c r="H39" s="26">
        <f t="shared" si="9"/>
        <v>0.2077697099</v>
      </c>
      <c r="I39" s="26">
        <f t="shared" si="9"/>
        <v>0.100639742</v>
      </c>
      <c r="J39" s="29">
        <f t="shared" ref="J39:L39" si="10">D39-D38</f>
        <v>0.2397</v>
      </c>
      <c r="K39" s="29">
        <f t="shared" si="10"/>
        <v>3.6375</v>
      </c>
      <c r="L39" s="29">
        <f t="shared" si="10"/>
        <v>0.8737</v>
      </c>
      <c r="M39" s="30">
        <f t="shared" si="6"/>
        <v>0.04706094804</v>
      </c>
      <c r="N39" s="30">
        <f t="shared" si="7"/>
        <v>0.1718490089</v>
      </c>
      <c r="O39" s="30">
        <f t="shared" si="8"/>
        <v>0.07622437817</v>
      </c>
      <c r="P39" s="32">
        <v>0.1045</v>
      </c>
      <c r="Q39" s="32">
        <v>0.2125</v>
      </c>
      <c r="R39" s="32">
        <v>0.1382</v>
      </c>
    </row>
    <row r="40" ht="15.75" customHeight="1">
      <c r="B40" s="24">
        <v>4.0</v>
      </c>
      <c r="C40" s="26">
        <f t="shared" si="3"/>
        <v>0.2194444444</v>
      </c>
      <c r="D40" s="27">
        <v>0.5923</v>
      </c>
      <c r="E40" s="27">
        <v>9.1207</v>
      </c>
      <c r="F40" s="27">
        <v>2.8086</v>
      </c>
      <c r="G40" s="26">
        <f t="shared" ref="G40:I40" si="11">D40/D$96</f>
        <v>0.1076322006</v>
      </c>
      <c r="H40" s="26">
        <f t="shared" si="11"/>
        <v>0.2801438699</v>
      </c>
      <c r="I40" s="26">
        <f t="shared" si="11"/>
        <v>0.1659076007</v>
      </c>
      <c r="J40" s="29">
        <f t="shared" ref="J40:L40" si="12">D40-D39</f>
        <v>0.2476</v>
      </c>
      <c r="K40" s="29">
        <f t="shared" si="12"/>
        <v>2.3563</v>
      </c>
      <c r="L40" s="29">
        <f t="shared" si="12"/>
        <v>1.1049</v>
      </c>
      <c r="M40" s="30">
        <f t="shared" si="6"/>
        <v>0.07422603641</v>
      </c>
      <c r="N40" s="30">
        <f t="shared" si="7"/>
        <v>0.2274587722</v>
      </c>
      <c r="O40" s="30">
        <f t="shared" si="8"/>
        <v>0.1238548938</v>
      </c>
      <c r="P40" s="32">
        <v>0.1312</v>
      </c>
      <c r="Q40" s="32">
        <v>0.2578</v>
      </c>
      <c r="R40" s="32">
        <v>0.1724</v>
      </c>
    </row>
    <row r="41" ht="15.75" customHeight="1">
      <c r="B41" s="24">
        <v>5.0</v>
      </c>
      <c r="C41" s="26">
        <f t="shared" si="3"/>
        <v>0.2222222222</v>
      </c>
      <c r="D41" s="27">
        <v>0.8296</v>
      </c>
      <c r="E41" s="27">
        <v>11.1144</v>
      </c>
      <c r="F41" s="27">
        <v>3.8181</v>
      </c>
      <c r="G41" s="26">
        <f t="shared" ref="G41:I41" si="13">D41/D$96</f>
        <v>0.1507541341</v>
      </c>
      <c r="H41" s="26">
        <f t="shared" si="13"/>
        <v>0.3413807084</v>
      </c>
      <c r="I41" s="26">
        <f t="shared" si="13"/>
        <v>0.2255400592</v>
      </c>
      <c r="J41" s="29">
        <f t="shared" ref="J41:L41" si="14">D41-D40</f>
        <v>0.2373</v>
      </c>
      <c r="K41" s="29">
        <f t="shared" si="14"/>
        <v>1.9937</v>
      </c>
      <c r="L41" s="29">
        <f t="shared" si="14"/>
        <v>1.0095</v>
      </c>
      <c r="M41" s="30">
        <f t="shared" si="6"/>
        <v>0.09955600087</v>
      </c>
      <c r="N41" s="30">
        <f t="shared" si="7"/>
        <v>0.2719027829</v>
      </c>
      <c r="O41" s="30">
        <f t="shared" si="8"/>
        <v>0.1659094293</v>
      </c>
      <c r="P41" s="32">
        <v>0.1528</v>
      </c>
      <c r="Q41" s="32">
        <v>0.289</v>
      </c>
      <c r="R41" s="32">
        <v>0.1997</v>
      </c>
    </row>
    <row r="42" ht="15.75" customHeight="1">
      <c r="B42" s="24">
        <v>6.0</v>
      </c>
      <c r="C42" s="26">
        <f t="shared" si="3"/>
        <v>0.225</v>
      </c>
      <c r="D42" s="27">
        <v>1.1087</v>
      </c>
      <c r="E42" s="27">
        <v>12.4224</v>
      </c>
      <c r="F42" s="27">
        <v>4.7863</v>
      </c>
      <c r="G42" s="26">
        <f t="shared" ref="G42:I42" si="15">D42/D$96</f>
        <v>0.2014719244</v>
      </c>
      <c r="H42" s="26">
        <f t="shared" si="15"/>
        <v>0.3815561535</v>
      </c>
      <c r="I42" s="26">
        <f t="shared" si="15"/>
        <v>0.2827328738</v>
      </c>
      <c r="J42" s="29">
        <f t="shared" ref="J42:L42" si="16">D42-D41</f>
        <v>0.2791</v>
      </c>
      <c r="K42" s="29">
        <f t="shared" si="16"/>
        <v>1.308</v>
      </c>
      <c r="L42" s="29">
        <f t="shared" si="16"/>
        <v>0.9682</v>
      </c>
      <c r="M42" s="30">
        <f t="shared" si="6"/>
        <v>0.1323333614</v>
      </c>
      <c r="N42" s="30">
        <f t="shared" si="7"/>
        <v>0.2952316348</v>
      </c>
      <c r="O42" s="30">
        <f t="shared" si="8"/>
        <v>0.2055500448</v>
      </c>
      <c r="P42" s="32">
        <v>0.1721</v>
      </c>
      <c r="Q42" s="32">
        <v>0.3132</v>
      </c>
      <c r="R42" s="32">
        <v>0.2236</v>
      </c>
    </row>
    <row r="43" ht="15.75" customHeight="1">
      <c r="B43" s="24">
        <v>7.0</v>
      </c>
      <c r="C43" s="26">
        <f t="shared" si="3"/>
        <v>0.2277777778</v>
      </c>
      <c r="D43" s="27">
        <v>1.4445</v>
      </c>
      <c r="E43" s="27">
        <v>14.2591</v>
      </c>
      <c r="F43" s="27">
        <v>5.779</v>
      </c>
      <c r="G43" s="26">
        <f t="shared" ref="G43:I43" si="17">D43/D$96</f>
        <v>0.2624931855</v>
      </c>
      <c r="H43" s="26">
        <f t="shared" si="17"/>
        <v>0.43797071</v>
      </c>
      <c r="I43" s="26">
        <f t="shared" si="17"/>
        <v>0.3413729347</v>
      </c>
      <c r="J43" s="29">
        <f t="shared" ref="J43:L43" si="18">D43-D42</f>
        <v>0.3358</v>
      </c>
      <c r="K43" s="29">
        <f t="shared" si="18"/>
        <v>1.8367</v>
      </c>
      <c r="L43" s="29">
        <f t="shared" si="18"/>
        <v>0.9927</v>
      </c>
      <c r="M43" s="30">
        <f t="shared" si="6"/>
        <v>0.1752128119</v>
      </c>
      <c r="N43" s="30">
        <f t="shared" si="7"/>
        <v>0.3348410532</v>
      </c>
      <c r="O43" s="30">
        <f t="shared" si="8"/>
        <v>0.2466226467</v>
      </c>
      <c r="P43" s="32">
        <v>0.1906</v>
      </c>
      <c r="Q43" s="32">
        <v>0.3374</v>
      </c>
      <c r="R43" s="32">
        <v>0.246</v>
      </c>
    </row>
    <row r="44" ht="15.75" customHeight="1">
      <c r="B44" s="24">
        <v>8.0</v>
      </c>
      <c r="C44" s="26">
        <f t="shared" si="3"/>
        <v>0.2305555556</v>
      </c>
      <c r="D44" s="27">
        <v>1.7164</v>
      </c>
      <c r="E44" s="27">
        <v>15.3648</v>
      </c>
      <c r="F44" s="27">
        <v>6.6829</v>
      </c>
      <c r="G44" s="26">
        <f t="shared" ref="G44:I44" si="19">D44/D$96</f>
        <v>0.3119025986</v>
      </c>
      <c r="H44" s="26">
        <f t="shared" si="19"/>
        <v>0.4719324758</v>
      </c>
      <c r="I44" s="26">
        <f t="shared" si="19"/>
        <v>0.3947674659</v>
      </c>
      <c r="J44" s="29">
        <f t="shared" ref="J44:L44" si="20">D44-D43</f>
        <v>0.2719</v>
      </c>
      <c r="K44" s="29">
        <f t="shared" si="20"/>
        <v>1.1057</v>
      </c>
      <c r="L44" s="29">
        <f t="shared" si="20"/>
        <v>0.9039</v>
      </c>
      <c r="M44" s="30">
        <f t="shared" si="6"/>
        <v>0.2067073673</v>
      </c>
      <c r="N44" s="30">
        <f t="shared" si="7"/>
        <v>0.3519403636</v>
      </c>
      <c r="O44" s="30">
        <f t="shared" si="8"/>
        <v>0.2825050283</v>
      </c>
      <c r="P44" s="32">
        <v>0.2067</v>
      </c>
      <c r="Q44" s="32">
        <v>0.3555</v>
      </c>
      <c r="R44" s="32">
        <v>0.2654</v>
      </c>
    </row>
    <row r="45" ht="15.75" customHeight="1">
      <c r="B45" s="24">
        <v>9.0</v>
      </c>
      <c r="C45" s="26">
        <f t="shared" si="3"/>
        <v>0.2333333333</v>
      </c>
      <c r="D45" s="27">
        <v>1.8699</v>
      </c>
      <c r="E45" s="27">
        <v>16.4392</v>
      </c>
      <c r="F45" s="27">
        <v>7.2177</v>
      </c>
      <c r="G45" s="26">
        <f t="shared" ref="G45:I45" si="21">D45/D$96</f>
        <v>0.3397964747</v>
      </c>
      <c r="H45" s="26">
        <f t="shared" si="21"/>
        <v>0.5049328566</v>
      </c>
      <c r="I45" s="26">
        <f t="shared" si="21"/>
        <v>0.4263587871</v>
      </c>
      <c r="J45" s="29">
        <f t="shared" ref="J45:L45" si="22">D45-D44</f>
        <v>0.1535</v>
      </c>
      <c r="K45" s="29">
        <f t="shared" si="22"/>
        <v>1.0744</v>
      </c>
      <c r="L45" s="29">
        <f t="shared" si="22"/>
        <v>0.5348</v>
      </c>
      <c r="M45" s="30">
        <f t="shared" si="6"/>
        <v>0.2171069062</v>
      </c>
      <c r="N45" s="30">
        <f t="shared" si="7"/>
        <v>0.3680758349</v>
      </c>
      <c r="O45" s="30">
        <f t="shared" si="8"/>
        <v>0.2968140951</v>
      </c>
      <c r="P45" s="32">
        <v>0.2191</v>
      </c>
      <c r="Q45" s="32">
        <v>0.3716</v>
      </c>
      <c r="R45" s="32">
        <v>0.2802</v>
      </c>
    </row>
    <row r="46" ht="15.75" customHeight="1">
      <c r="B46" s="24">
        <v>10.0</v>
      </c>
      <c r="C46" s="26">
        <f t="shared" si="3"/>
        <v>0.2361111111</v>
      </c>
      <c r="D46" s="27">
        <v>2.194</v>
      </c>
      <c r="E46" s="27">
        <v>18.1074</v>
      </c>
      <c r="F46" s="27">
        <v>8.1077</v>
      </c>
      <c r="G46" s="26">
        <f t="shared" ref="G46:I46" si="23">D46/D$96</f>
        <v>0.3986916228</v>
      </c>
      <c r="H46" s="26">
        <f t="shared" si="23"/>
        <v>0.5561719067</v>
      </c>
      <c r="I46" s="26">
        <f t="shared" si="23"/>
        <v>0.4789322275</v>
      </c>
      <c r="J46" s="29">
        <f t="shared" ref="J46:L46" si="24">D46-D45</f>
        <v>0.3241</v>
      </c>
      <c r="K46" s="29">
        <f t="shared" si="24"/>
        <v>1.6682</v>
      </c>
      <c r="L46" s="29">
        <f t="shared" si="24"/>
        <v>0.89</v>
      </c>
      <c r="M46" s="30">
        <f t="shared" si="6"/>
        <v>0.2579017984</v>
      </c>
      <c r="N46" s="30">
        <f t="shared" si="7"/>
        <v>0.4024965348</v>
      </c>
      <c r="O46" s="30">
        <f t="shared" si="8"/>
        <v>0.3318840435</v>
      </c>
      <c r="P46" s="32">
        <v>0.2335</v>
      </c>
      <c r="Q46" s="32">
        <v>0.3938</v>
      </c>
      <c r="R46" s="32">
        <v>0.2958</v>
      </c>
    </row>
    <row r="47" ht="15.75" customHeight="1">
      <c r="B47" s="24">
        <v>11.0</v>
      </c>
      <c r="C47" s="26">
        <f t="shared" si="3"/>
        <v>0.2388888889</v>
      </c>
      <c r="D47" s="27">
        <v>2.5282</v>
      </c>
      <c r="E47" s="27">
        <v>19.2458</v>
      </c>
      <c r="F47" s="27">
        <v>9.1935</v>
      </c>
      <c r="G47" s="26">
        <f t="shared" ref="G47:I47" si="25">D47/D$96</f>
        <v>0.4594221334</v>
      </c>
      <c r="H47" s="26">
        <f t="shared" si="25"/>
        <v>0.5911380586</v>
      </c>
      <c r="I47" s="26">
        <f t="shared" si="25"/>
        <v>0.5430718248</v>
      </c>
      <c r="J47" s="29">
        <f t="shared" ref="J47:L47" si="26">D47-D46</f>
        <v>0.3342</v>
      </c>
      <c r="K47" s="29">
        <f t="shared" si="26"/>
        <v>1.1384</v>
      </c>
      <c r="L47" s="29">
        <f t="shared" si="26"/>
        <v>1.0858</v>
      </c>
      <c r="M47" s="30">
        <f t="shared" si="6"/>
        <v>0.300496181</v>
      </c>
      <c r="N47" s="30">
        <f t="shared" si="7"/>
        <v>0.4206027953</v>
      </c>
      <c r="O47" s="30">
        <f t="shared" si="8"/>
        <v>0.3783981941</v>
      </c>
      <c r="P47" s="32">
        <v>0.2481</v>
      </c>
      <c r="Q47" s="32">
        <v>0.4099</v>
      </c>
      <c r="R47" s="32">
        <v>0.3141</v>
      </c>
    </row>
    <row r="48" ht="15.75" customHeight="1">
      <c r="B48" s="24">
        <v>12.0</v>
      </c>
      <c r="C48" s="26">
        <f t="shared" si="3"/>
        <v>0.2416666667</v>
      </c>
      <c r="D48" s="27">
        <v>2.7001</v>
      </c>
      <c r="E48" s="27">
        <v>19.9276</v>
      </c>
      <c r="F48" s="27">
        <v>9.6962</v>
      </c>
      <c r="G48" s="26">
        <f t="shared" ref="G48:I48" si="27">D48/D$96</f>
        <v>0.4906596402</v>
      </c>
      <c r="H48" s="26">
        <f t="shared" si="27"/>
        <v>0.6120796629</v>
      </c>
      <c r="I48" s="26">
        <f t="shared" si="27"/>
        <v>0.5727669579</v>
      </c>
      <c r="J48" s="29">
        <f t="shared" ref="J48:L48" si="28">D48-D47</f>
        <v>0.1719</v>
      </c>
      <c r="K48" s="29">
        <f t="shared" si="28"/>
        <v>0.6818</v>
      </c>
      <c r="L48" s="29">
        <f t="shared" si="28"/>
        <v>0.5027</v>
      </c>
      <c r="M48" s="30">
        <f t="shared" si="6"/>
        <v>0.3141739995</v>
      </c>
      <c r="N48" s="30">
        <f t="shared" si="7"/>
        <v>0.4246487066</v>
      </c>
      <c r="O48" s="30">
        <f t="shared" si="8"/>
        <v>0.3908310663</v>
      </c>
      <c r="P48" s="32">
        <v>0.2602</v>
      </c>
      <c r="Q48" s="32">
        <v>0.4199</v>
      </c>
      <c r="R48" s="32">
        <v>0.3286</v>
      </c>
    </row>
    <row r="49" ht="15.75" customHeight="1">
      <c r="B49" s="24">
        <v>13.0</v>
      </c>
      <c r="C49" s="26">
        <f t="shared" si="3"/>
        <v>0.2444444444</v>
      </c>
      <c r="D49" s="27">
        <v>2.8549</v>
      </c>
      <c r="E49" s="27">
        <v>20.7713</v>
      </c>
      <c r="F49" s="27">
        <v>10.1657</v>
      </c>
      <c r="G49" s="26">
        <f t="shared" ref="G49:I49" si="29">D49/D$96</f>
        <v>0.518789751</v>
      </c>
      <c r="H49" s="26">
        <f t="shared" si="29"/>
        <v>0.6379940535</v>
      </c>
      <c r="I49" s="26">
        <f t="shared" si="29"/>
        <v>0.6005009245</v>
      </c>
      <c r="J49" s="29">
        <f t="shared" ref="J49:L49" si="30">D49-D48</f>
        <v>0.1548</v>
      </c>
      <c r="K49" s="29">
        <f t="shared" si="30"/>
        <v>0.8437</v>
      </c>
      <c r="L49" s="29">
        <f t="shared" si="30"/>
        <v>0.4695</v>
      </c>
      <c r="M49" s="30">
        <f t="shared" si="6"/>
        <v>0.3248051559</v>
      </c>
      <c r="N49" s="30">
        <f t="shared" si="7"/>
        <v>0.4336800986</v>
      </c>
      <c r="O49" s="30">
        <f t="shared" si="8"/>
        <v>0.4013234507</v>
      </c>
      <c r="P49" s="32">
        <v>0.2706</v>
      </c>
      <c r="Q49" s="32">
        <v>0.431</v>
      </c>
      <c r="R49" s="32">
        <v>0.3414</v>
      </c>
    </row>
    <row r="50" ht="15.75" customHeight="1">
      <c r="B50" s="24">
        <v>14.0</v>
      </c>
      <c r="C50" s="26">
        <f t="shared" si="3"/>
        <v>0.2472222222</v>
      </c>
      <c r="D50" s="27">
        <v>2.9694</v>
      </c>
      <c r="E50" s="27">
        <v>20.9997</v>
      </c>
      <c r="F50" s="27">
        <v>10.5679</v>
      </c>
      <c r="G50" s="26">
        <f t="shared" ref="G50:I50" si="31">D50/D$96</f>
        <v>0.5395965837</v>
      </c>
      <c r="H50" s="26">
        <f t="shared" si="31"/>
        <v>0.6450093988</v>
      </c>
      <c r="I50" s="26">
        <f t="shared" si="31"/>
        <v>0.6242593938</v>
      </c>
      <c r="J50" s="29">
        <f t="shared" ref="J50:L50" si="32">D50-D49</f>
        <v>0.1145</v>
      </c>
      <c r="K50" s="29">
        <f t="shared" si="32"/>
        <v>0.2284</v>
      </c>
      <c r="L50" s="29">
        <f t="shared" si="32"/>
        <v>0.4022</v>
      </c>
      <c r="M50" s="30">
        <f t="shared" si="6"/>
        <v>0.3282561672</v>
      </c>
      <c r="N50" s="30">
        <f t="shared" si="7"/>
        <v>0.4237642001</v>
      </c>
      <c r="O50" s="30">
        <f t="shared" si="8"/>
        <v>0.4078822559</v>
      </c>
      <c r="P50" s="32">
        <v>0.2817</v>
      </c>
      <c r="Q50" s="32">
        <v>0.4371</v>
      </c>
      <c r="R50" s="32">
        <v>0.3542</v>
      </c>
    </row>
    <row r="51" ht="15.75" customHeight="1">
      <c r="B51" s="24">
        <v>15.0</v>
      </c>
      <c r="C51" s="26">
        <f t="shared" si="3"/>
        <v>0.25</v>
      </c>
      <c r="D51" s="27">
        <v>3.0884</v>
      </c>
      <c r="E51" s="27">
        <v>22.1962</v>
      </c>
      <c r="F51" s="27">
        <v>10.7277</v>
      </c>
      <c r="G51" s="26">
        <f t="shared" ref="G51:I51" si="33">D51/D$96</f>
        <v>0.5612211521</v>
      </c>
      <c r="H51" s="26">
        <f t="shared" si="33"/>
        <v>0.6817601022</v>
      </c>
      <c r="I51" s="26">
        <f t="shared" si="33"/>
        <v>0.6336989846</v>
      </c>
      <c r="J51" s="29">
        <f t="shared" ref="J51:L51" si="34">D51-D50</f>
        <v>0.119</v>
      </c>
      <c r="K51" s="29">
        <f t="shared" si="34"/>
        <v>1.1965</v>
      </c>
      <c r="L51" s="29">
        <f t="shared" si="34"/>
        <v>0.1598</v>
      </c>
      <c r="M51" s="30">
        <f t="shared" si="6"/>
        <v>0.3325089318</v>
      </c>
      <c r="N51" s="30">
        <f t="shared" si="7"/>
        <v>0.4436595677</v>
      </c>
      <c r="O51" s="30">
        <f t="shared" si="8"/>
        <v>0.4002731622</v>
      </c>
      <c r="P51" s="32">
        <v>0.2908</v>
      </c>
      <c r="Q51" s="32">
        <v>0.4522</v>
      </c>
      <c r="R51" s="32">
        <v>0.3632</v>
      </c>
    </row>
    <row r="52" ht="15.75" customHeight="1">
      <c r="B52" s="24">
        <v>16.0</v>
      </c>
      <c r="C52" s="26">
        <f t="shared" si="3"/>
        <v>0.2527777778</v>
      </c>
      <c r="D52" s="27">
        <v>3.2172</v>
      </c>
      <c r="E52" s="27">
        <v>22.537</v>
      </c>
      <c r="F52" s="27">
        <v>11.1786</v>
      </c>
      <c r="G52" s="26">
        <f t="shared" ref="G52:I52" si="35">D52/D$96</f>
        <v>0.5846265673</v>
      </c>
      <c r="H52" s="26">
        <f t="shared" si="35"/>
        <v>0.6922278329</v>
      </c>
      <c r="I52" s="26">
        <f t="shared" si="35"/>
        <v>0.6603342253</v>
      </c>
      <c r="J52" s="29">
        <f t="shared" ref="J52:L52" si="36">D52-D51</f>
        <v>0.1288</v>
      </c>
      <c r="K52" s="29">
        <f t="shared" si="36"/>
        <v>0.3408</v>
      </c>
      <c r="L52" s="29">
        <f t="shared" si="36"/>
        <v>0.4509</v>
      </c>
      <c r="M52" s="30">
        <f t="shared" si="6"/>
        <v>0.3385077365</v>
      </c>
      <c r="N52" s="30">
        <f t="shared" si="7"/>
        <v>0.4372048677</v>
      </c>
      <c r="O52" s="30">
        <f t="shared" si="8"/>
        <v>0.4096784059</v>
      </c>
      <c r="P52" s="32">
        <v>0.2977</v>
      </c>
      <c r="Q52" s="32">
        <v>0.4592</v>
      </c>
      <c r="R52" s="32">
        <v>0.3718</v>
      </c>
    </row>
    <row r="53" ht="15.75" customHeight="1">
      <c r="B53" s="24">
        <v>17.0</v>
      </c>
      <c r="C53" s="26">
        <f t="shared" si="3"/>
        <v>0.2555555556</v>
      </c>
      <c r="D53" s="27">
        <v>3.3771</v>
      </c>
      <c r="E53" s="27">
        <v>22.7319</v>
      </c>
      <c r="F53" s="27">
        <v>11.5623</v>
      </c>
      <c r="G53" s="26">
        <f t="shared" ref="G53:I53" si="37">D53/D$96</f>
        <v>0.6136834454</v>
      </c>
      <c r="H53" s="26">
        <f t="shared" si="37"/>
        <v>0.6982142199</v>
      </c>
      <c r="I53" s="26">
        <f t="shared" si="37"/>
        <v>0.682999876</v>
      </c>
      <c r="J53" s="29">
        <f t="shared" ref="J53:L53" si="38">D53-D52</f>
        <v>0.1599</v>
      </c>
      <c r="K53" s="29">
        <f t="shared" si="38"/>
        <v>0.1949</v>
      </c>
      <c r="L53" s="29">
        <f t="shared" si="38"/>
        <v>0.3837</v>
      </c>
      <c r="M53" s="30">
        <f t="shared" si="6"/>
        <v>0.3500475465</v>
      </c>
      <c r="N53" s="30">
        <f t="shared" si="7"/>
        <v>0.4262573841</v>
      </c>
      <c r="O53" s="30">
        <f t="shared" si="8"/>
        <v>0.4151559151</v>
      </c>
      <c r="P53" s="32">
        <v>0.3057</v>
      </c>
      <c r="Q53" s="32">
        <v>0.4653</v>
      </c>
      <c r="R53" s="32">
        <v>0.3801</v>
      </c>
    </row>
    <row r="54" ht="15.75" customHeight="1">
      <c r="B54" s="24">
        <v>18.0</v>
      </c>
      <c r="C54" s="26">
        <f t="shared" si="3"/>
        <v>0.2583333333</v>
      </c>
      <c r="D54" s="27">
        <v>3.533</v>
      </c>
      <c r="E54" s="27">
        <v>23.2479</v>
      </c>
      <c r="F54" s="27">
        <v>11.9137</v>
      </c>
      <c r="G54" s="26">
        <f t="shared" ref="G54:I54" si="39">D54/D$96</f>
        <v>0.6420134472</v>
      </c>
      <c r="H54" s="26">
        <f t="shared" si="39"/>
        <v>0.7140632487</v>
      </c>
      <c r="I54" s="26">
        <f t="shared" si="39"/>
        <v>0.7037575242</v>
      </c>
      <c r="J54" s="29">
        <f t="shared" ref="J54:L54" si="40">D54-D53</f>
        <v>0.1559</v>
      </c>
      <c r="K54" s="29">
        <f t="shared" si="40"/>
        <v>0.516</v>
      </c>
      <c r="L54" s="29">
        <f t="shared" si="40"/>
        <v>0.3514</v>
      </c>
      <c r="M54" s="30">
        <f t="shared" si="6"/>
        <v>0.360874687</v>
      </c>
      <c r="N54" s="30">
        <f t="shared" si="7"/>
        <v>0.4251977196</v>
      </c>
      <c r="O54" s="30">
        <f t="shared" si="8"/>
        <v>0.4187455402</v>
      </c>
      <c r="P54" s="32">
        <v>0.3147</v>
      </c>
      <c r="Q54" s="32">
        <v>0.4723</v>
      </c>
      <c r="R54" s="32">
        <v>0.3894</v>
      </c>
    </row>
    <row r="55" ht="15.75" customHeight="1">
      <c r="B55" s="24">
        <v>19.0</v>
      </c>
      <c r="C55" s="26">
        <f t="shared" si="3"/>
        <v>0.2611111111</v>
      </c>
      <c r="D55" s="27">
        <v>3.683</v>
      </c>
      <c r="E55" s="27">
        <v>23.8849</v>
      </c>
      <c r="F55" s="27">
        <v>12.2021</v>
      </c>
      <c r="G55" s="26">
        <f t="shared" ref="G55:I55" si="41">D55/D$96</f>
        <v>0.6692713066</v>
      </c>
      <c r="H55" s="26">
        <f t="shared" si="41"/>
        <v>0.7336288133</v>
      </c>
      <c r="I55" s="26">
        <f t="shared" si="41"/>
        <v>0.7207936817</v>
      </c>
      <c r="J55" s="29">
        <f t="shared" ref="J55:L55" si="42">D55-D54</f>
        <v>0.15</v>
      </c>
      <c r="K55" s="29">
        <f t="shared" si="42"/>
        <v>0.637</v>
      </c>
      <c r="L55" s="29">
        <f t="shared" si="42"/>
        <v>0.2884</v>
      </c>
      <c r="M55" s="30">
        <f t="shared" si="6"/>
        <v>0.3706506401</v>
      </c>
      <c r="N55" s="30">
        <f t="shared" si="7"/>
        <v>0.4278640784</v>
      </c>
      <c r="O55" s="30">
        <f t="shared" si="8"/>
        <v>0.4186529143</v>
      </c>
      <c r="P55" s="32">
        <v>0.3226</v>
      </c>
      <c r="Q55" s="32">
        <v>0.4804</v>
      </c>
      <c r="R55" s="32">
        <v>0.397</v>
      </c>
    </row>
    <row r="56" ht="15.75" customHeight="1">
      <c r="B56" s="24">
        <v>20.0</v>
      </c>
      <c r="C56" s="26">
        <f t="shared" si="3"/>
        <v>0.2638888889</v>
      </c>
      <c r="D56" s="27">
        <v>3.7806</v>
      </c>
      <c r="E56" s="27">
        <v>24.0972</v>
      </c>
      <c r="F56" s="27">
        <v>12.5134</v>
      </c>
      <c r="G56" s="26">
        <f t="shared" ref="G56:I56" si="43">D56/D$96</f>
        <v>0.687007087</v>
      </c>
      <c r="H56" s="26">
        <f t="shared" si="43"/>
        <v>0.7401496443</v>
      </c>
      <c r="I56" s="26">
        <f t="shared" si="43"/>
        <v>0.7391825716</v>
      </c>
      <c r="J56" s="29">
        <f t="shared" ref="J56:L56" si="44">D56-D55</f>
        <v>0.0976</v>
      </c>
      <c r="K56" s="29">
        <f t="shared" si="44"/>
        <v>0.2123</v>
      </c>
      <c r="L56" s="29">
        <f t="shared" si="44"/>
        <v>0.3113</v>
      </c>
      <c r="M56" s="30">
        <f t="shared" si="6"/>
        <v>0.3710906229</v>
      </c>
      <c r="N56" s="30">
        <f t="shared" si="7"/>
        <v>0.4174524032</v>
      </c>
      <c r="O56" s="30">
        <f t="shared" si="8"/>
        <v>0.4198987574</v>
      </c>
      <c r="P56" s="32">
        <v>0.3288</v>
      </c>
      <c r="Q56" s="32">
        <v>0.4864</v>
      </c>
      <c r="R56" s="32">
        <v>0.4036</v>
      </c>
    </row>
    <row r="57" ht="15.75" customHeight="1">
      <c r="A57" s="42"/>
      <c r="B57" s="43">
        <v>21.0</v>
      </c>
      <c r="C57" s="44">
        <f t="shared" si="3"/>
        <v>0.2666666667</v>
      </c>
      <c r="D57" s="45">
        <v>3.9349</v>
      </c>
      <c r="E57" s="45">
        <v>24.8396</v>
      </c>
      <c r="F57" s="45">
        <v>12.749</v>
      </c>
      <c r="G57" s="44">
        <f t="shared" ref="G57:I57" si="45">D57/D$96</f>
        <v>0.7150463384</v>
      </c>
      <c r="H57" s="44">
        <f t="shared" si="45"/>
        <v>0.7629525881</v>
      </c>
      <c r="I57" s="44">
        <f t="shared" si="45"/>
        <v>0.7530997655</v>
      </c>
      <c r="J57" s="46">
        <f t="shared" ref="J57:L57" si="46">D57-D56</f>
        <v>0.1543</v>
      </c>
      <c r="K57" s="46">
        <f t="shared" si="46"/>
        <v>0.7424</v>
      </c>
      <c r="L57" s="46">
        <f t="shared" si="46"/>
        <v>0.2356</v>
      </c>
      <c r="M57" s="47">
        <f t="shared" si="6"/>
        <v>0.3816326956</v>
      </c>
      <c r="N57" s="47">
        <f t="shared" si="7"/>
        <v>0.4233644054</v>
      </c>
      <c r="O57" s="47">
        <f t="shared" si="8"/>
        <v>0.4167200545</v>
      </c>
      <c r="P57" s="48">
        <v>0.3361</v>
      </c>
      <c r="Q57" s="48">
        <v>0.4965</v>
      </c>
      <c r="R57" s="48">
        <v>0.4102</v>
      </c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</row>
    <row r="58" ht="15.75" customHeight="1">
      <c r="B58" s="24">
        <v>22.0</v>
      </c>
      <c r="C58" s="26">
        <f t="shared" si="3"/>
        <v>0.2694444444</v>
      </c>
      <c r="D58" s="27">
        <v>3.9325</v>
      </c>
      <c r="E58" s="27">
        <v>25.2346</v>
      </c>
      <c r="F58" s="27">
        <v>12.7473</v>
      </c>
      <c r="G58" s="26">
        <f t="shared" ref="G58:I58" si="47">D58/D$96</f>
        <v>0.7146102126</v>
      </c>
      <c r="H58" s="26">
        <f t="shared" si="47"/>
        <v>0.775085081</v>
      </c>
      <c r="I58" s="26">
        <f t="shared" si="47"/>
        <v>0.7529993443</v>
      </c>
      <c r="J58" s="29">
        <f t="shared" ref="J58:L58" si="48">D58-D57</f>
        <v>-0.0024</v>
      </c>
      <c r="K58" s="29">
        <f t="shared" si="48"/>
        <v>0.395</v>
      </c>
      <c r="L58" s="29">
        <f t="shared" si="48"/>
        <v>-0.0017</v>
      </c>
      <c r="M58" s="30">
        <f t="shared" si="6"/>
        <v>0.3642559414</v>
      </c>
      <c r="N58" s="30">
        <f t="shared" si="7"/>
        <v>0.4185787176</v>
      </c>
      <c r="O58" s="30">
        <f t="shared" si="8"/>
        <v>0.3996715396</v>
      </c>
      <c r="P58" s="32">
        <v>0.3399</v>
      </c>
      <c r="Q58" s="32">
        <v>0.5025</v>
      </c>
      <c r="R58" s="32">
        <v>0.4126</v>
      </c>
    </row>
    <row r="59" ht="15.75" customHeight="1">
      <c r="B59" s="24">
        <v>23.0</v>
      </c>
      <c r="C59" s="26">
        <f t="shared" si="3"/>
        <v>0.2722222222</v>
      </c>
      <c r="D59" s="27">
        <v>4.0414</v>
      </c>
      <c r="E59" s="27">
        <v>25.3837</v>
      </c>
      <c r="F59" s="27">
        <v>13.1554</v>
      </c>
      <c r="G59" s="26">
        <f t="shared" ref="G59:I59" si="49">D59/D$96</f>
        <v>0.7343994185</v>
      </c>
      <c r="H59" s="26">
        <f t="shared" si="49"/>
        <v>0.7796647132</v>
      </c>
      <c r="I59" s="26">
        <f t="shared" si="49"/>
        <v>0.7771063342</v>
      </c>
      <c r="J59" s="29">
        <f t="shared" ref="J59:L59" si="50">D59-D58</f>
        <v>0.1089</v>
      </c>
      <c r="K59" s="29">
        <f t="shared" si="50"/>
        <v>0.1491</v>
      </c>
      <c r="L59" s="29">
        <f t="shared" si="50"/>
        <v>0.4081</v>
      </c>
      <c r="M59" s="30">
        <f t="shared" si="6"/>
        <v>0.3667092155</v>
      </c>
      <c r="N59" s="30">
        <f t="shared" si="7"/>
        <v>0.406220888</v>
      </c>
      <c r="O59" s="30">
        <f t="shared" si="8"/>
        <v>0.4065751906</v>
      </c>
      <c r="P59" s="32">
        <v>0.3466</v>
      </c>
      <c r="Q59" s="32">
        <v>0.5055</v>
      </c>
      <c r="R59" s="32">
        <v>0.4216</v>
      </c>
    </row>
    <row r="60" ht="15.75" customHeight="1">
      <c r="B60" s="24">
        <v>24.0</v>
      </c>
      <c r="C60" s="26">
        <f t="shared" si="3"/>
        <v>0.275</v>
      </c>
      <c r="D60" s="27">
        <v>4.1314</v>
      </c>
      <c r="E60" s="27">
        <v>25.8923</v>
      </c>
      <c r="F60" s="27">
        <v>13.3038</v>
      </c>
      <c r="G60" s="26">
        <f t="shared" ref="G60:I60" si="51">D60/D$96</f>
        <v>0.7507541341</v>
      </c>
      <c r="H60" s="26">
        <f t="shared" si="51"/>
        <v>0.7952864497</v>
      </c>
      <c r="I60" s="26">
        <f t="shared" si="51"/>
        <v>0.7858725124</v>
      </c>
      <c r="J60" s="29">
        <f t="shared" ref="J60:L60" si="52">D60-D59</f>
        <v>0.09</v>
      </c>
      <c r="K60" s="29">
        <f t="shared" si="52"/>
        <v>0.5086</v>
      </c>
      <c r="L60" s="29">
        <f t="shared" si="52"/>
        <v>0.1484</v>
      </c>
      <c r="M60" s="30">
        <f t="shared" si="6"/>
        <v>0.3657951262</v>
      </c>
      <c r="N60" s="30">
        <f t="shared" si="7"/>
        <v>0.4049333509</v>
      </c>
      <c r="O60" s="30">
        <f t="shared" si="8"/>
        <v>0.3982997848</v>
      </c>
      <c r="P60" s="32">
        <v>0.352</v>
      </c>
      <c r="Q60" s="32">
        <v>0.5136</v>
      </c>
      <c r="R60" s="32">
        <v>0.4254</v>
      </c>
    </row>
    <row r="61" ht="15.75" customHeight="1">
      <c r="B61" s="24">
        <v>25.0</v>
      </c>
      <c r="C61" s="26">
        <f t="shared" si="3"/>
        <v>0.2777777778</v>
      </c>
      <c r="D61" s="27">
        <v>4.1126</v>
      </c>
      <c r="E61" s="27">
        <v>25.7813</v>
      </c>
      <c r="F61" s="27">
        <v>13.1887</v>
      </c>
      <c r="G61" s="26">
        <f t="shared" ref="G61:I61" si="53">D61/D$96</f>
        <v>0.7473378157</v>
      </c>
      <c r="H61" s="26">
        <f t="shared" si="53"/>
        <v>0.7918770656</v>
      </c>
      <c r="I61" s="26">
        <f t="shared" si="53"/>
        <v>0.7790734079</v>
      </c>
      <c r="J61" s="29">
        <f t="shared" ref="J61:L61" si="54">D61-D60</f>
        <v>-0.0188</v>
      </c>
      <c r="K61" s="29">
        <f t="shared" si="54"/>
        <v>-0.111</v>
      </c>
      <c r="L61" s="29">
        <f t="shared" si="54"/>
        <v>-0.1151</v>
      </c>
      <c r="M61" s="30">
        <f t="shared" si="6"/>
        <v>0.3454964271</v>
      </c>
      <c r="N61" s="30">
        <f t="shared" si="7"/>
        <v>0.3845661109</v>
      </c>
      <c r="O61" s="30">
        <f t="shared" si="8"/>
        <v>0.3746232182</v>
      </c>
      <c r="P61" s="32">
        <v>0.3549</v>
      </c>
      <c r="Q61" s="32">
        <v>0.5146</v>
      </c>
      <c r="R61" s="32">
        <v>0.4278</v>
      </c>
    </row>
    <row r="62" ht="15.75" customHeight="1">
      <c r="B62" s="24">
        <v>26.0</v>
      </c>
      <c r="C62" s="26">
        <f t="shared" si="3"/>
        <v>0.2805555556</v>
      </c>
      <c r="D62" s="27">
        <v>4.1754</v>
      </c>
      <c r="E62" s="27">
        <v>26.011</v>
      </c>
      <c r="F62" s="27">
        <v>13.2689</v>
      </c>
      <c r="G62" s="26">
        <f t="shared" ref="G62:I62" si="55">D62/D$96</f>
        <v>0.7587497729</v>
      </c>
      <c r="H62" s="26">
        <f t="shared" si="55"/>
        <v>0.7989323406</v>
      </c>
      <c r="I62" s="26">
        <f t="shared" si="55"/>
        <v>0.7838109246</v>
      </c>
      <c r="J62" s="29">
        <f t="shared" ref="J62:L62" si="56">D62-D61</f>
        <v>0.0628</v>
      </c>
      <c r="K62" s="29">
        <f t="shared" si="56"/>
        <v>0.2297</v>
      </c>
      <c r="L62" s="29">
        <f t="shared" si="56"/>
        <v>0.0802</v>
      </c>
      <c r="M62" s="30">
        <f t="shared" si="6"/>
        <v>0.3397361855</v>
      </c>
      <c r="N62" s="30">
        <f t="shared" si="7"/>
        <v>0.374690244</v>
      </c>
      <c r="O62" s="30">
        <f t="shared" si="8"/>
        <v>0.3623616295</v>
      </c>
      <c r="P62" s="32">
        <v>0.3596</v>
      </c>
      <c r="Q62" s="32">
        <v>0.5206</v>
      </c>
      <c r="R62" s="32">
        <v>0.4305</v>
      </c>
    </row>
    <row r="63" ht="15.75" customHeight="1">
      <c r="B63" s="24">
        <v>27.0</v>
      </c>
      <c r="C63" s="26">
        <f t="shared" si="3"/>
        <v>0.2833333333</v>
      </c>
      <c r="D63" s="27">
        <v>4.2333</v>
      </c>
      <c r="E63" s="27">
        <v>26.2714</v>
      </c>
      <c r="F63" s="27">
        <v>13.4766</v>
      </c>
      <c r="G63" s="26">
        <f t="shared" ref="G63:I63" si="57">D63/D$96</f>
        <v>0.7692713066</v>
      </c>
      <c r="H63" s="26">
        <f t="shared" si="57"/>
        <v>0.8069305714</v>
      </c>
      <c r="I63" s="26">
        <f t="shared" si="57"/>
        <v>0.7960800298</v>
      </c>
      <c r="J63" s="29">
        <f t="shared" ref="J63:L63" si="58">D63-D62</f>
        <v>0.0579</v>
      </c>
      <c r="K63" s="29">
        <f t="shared" si="58"/>
        <v>0.2604</v>
      </c>
      <c r="L63" s="29">
        <f t="shared" si="58"/>
        <v>0.2077</v>
      </c>
      <c r="M63" s="30">
        <f t="shared" si="6"/>
        <v>0.3331029237</v>
      </c>
      <c r="N63" s="30">
        <f t="shared" si="7"/>
        <v>0.36575974</v>
      </c>
      <c r="O63" s="30">
        <f t="shared" si="8"/>
        <v>0.3575522155</v>
      </c>
      <c r="P63" s="32">
        <v>0.3644</v>
      </c>
      <c r="Q63" s="32">
        <v>0.5247</v>
      </c>
      <c r="R63" s="32">
        <v>0.4368</v>
      </c>
    </row>
    <row r="64" ht="15.75" customHeight="1">
      <c r="B64" s="24">
        <v>28.0</v>
      </c>
      <c r="C64" s="26">
        <f t="shared" si="3"/>
        <v>0.2861111111</v>
      </c>
      <c r="D64" s="27">
        <v>4.3406</v>
      </c>
      <c r="E64" s="27">
        <v>26.7544</v>
      </c>
      <c r="F64" s="27">
        <v>13.8412</v>
      </c>
      <c r="G64" s="26">
        <f t="shared" ref="G64:I64" si="59">D64/D$96</f>
        <v>0.7887697619</v>
      </c>
      <c r="H64" s="26">
        <f t="shared" si="59"/>
        <v>0.8217659995</v>
      </c>
      <c r="I64" s="26">
        <f t="shared" si="59"/>
        <v>0.8176174189</v>
      </c>
      <c r="J64" s="29">
        <f t="shared" ref="J64:L64" si="60">D64-D63</f>
        <v>0.1073</v>
      </c>
      <c r="K64" s="29">
        <f t="shared" si="60"/>
        <v>0.483</v>
      </c>
      <c r="L64" s="29">
        <f t="shared" si="60"/>
        <v>0.3646</v>
      </c>
      <c r="M64" s="30">
        <f t="shared" si="6"/>
        <v>0.33527113</v>
      </c>
      <c r="N64" s="30">
        <f t="shared" si="7"/>
        <v>0.3636838873</v>
      </c>
      <c r="O64" s="30">
        <f t="shared" si="8"/>
        <v>0.3619133598</v>
      </c>
      <c r="P64" s="32">
        <v>0.3708</v>
      </c>
      <c r="Q64" s="32">
        <v>0.5307</v>
      </c>
      <c r="R64" s="32">
        <v>0.444</v>
      </c>
    </row>
    <row r="65" ht="15.75" customHeight="1">
      <c r="B65" s="24">
        <v>29.0</v>
      </c>
      <c r="C65" s="26">
        <f t="shared" si="3"/>
        <v>0.2888888889</v>
      </c>
      <c r="D65" s="27">
        <v>4.3935</v>
      </c>
      <c r="E65" s="27">
        <v>27.0343</v>
      </c>
      <c r="F65" s="27">
        <v>14.0611</v>
      </c>
      <c r="G65" s="26">
        <f t="shared" ref="G65:I65" si="61">D65/D$96</f>
        <v>0.7983827003</v>
      </c>
      <c r="H65" s="26">
        <f t="shared" si="61"/>
        <v>0.8303631762</v>
      </c>
      <c r="I65" s="26">
        <f t="shared" si="61"/>
        <v>0.8306071937</v>
      </c>
      <c r="J65" s="29">
        <f t="shared" ref="J65:L65" si="62">D65-D64</f>
        <v>0.0529</v>
      </c>
      <c r="K65" s="29">
        <f t="shared" si="62"/>
        <v>0.2799</v>
      </c>
      <c r="L65" s="29">
        <f t="shared" si="62"/>
        <v>0.2199</v>
      </c>
      <c r="M65" s="30">
        <f t="shared" si="6"/>
        <v>0.3277470313</v>
      </c>
      <c r="N65" s="30">
        <f t="shared" si="7"/>
        <v>0.3553538582</v>
      </c>
      <c r="O65" s="30">
        <f t="shared" si="8"/>
        <v>0.3578170166</v>
      </c>
      <c r="P65" s="32">
        <v>0.3767</v>
      </c>
      <c r="Q65" s="32">
        <v>0.5368</v>
      </c>
      <c r="R65" s="32">
        <v>0.4509</v>
      </c>
    </row>
    <row r="66" ht="15.75" customHeight="1">
      <c r="B66" s="24">
        <v>30.0</v>
      </c>
      <c r="C66" s="26">
        <f t="shared" si="3"/>
        <v>0.2916666667</v>
      </c>
      <c r="D66" s="27">
        <v>4.4729</v>
      </c>
      <c r="E66" s="27">
        <v>27.4469</v>
      </c>
      <c r="F66" s="27">
        <v>14.2035</v>
      </c>
      <c r="G66" s="26">
        <f t="shared" ref="G66:I66" si="63">D66/D$96</f>
        <v>0.8128111939</v>
      </c>
      <c r="H66" s="26">
        <f t="shared" si="63"/>
        <v>0.8430362562</v>
      </c>
      <c r="I66" s="26">
        <f t="shared" si="63"/>
        <v>0.8390189442</v>
      </c>
      <c r="J66" s="29">
        <f t="shared" ref="J66:L66" si="64">D66-D65</f>
        <v>0.0794</v>
      </c>
      <c r="K66" s="29">
        <f t="shared" si="64"/>
        <v>0.4126</v>
      </c>
      <c r="L66" s="29">
        <f t="shared" si="64"/>
        <v>0.1424</v>
      </c>
      <c r="M66" s="30">
        <f t="shared" si="6"/>
        <v>0.324944368</v>
      </c>
      <c r="N66" s="30">
        <f t="shared" si="7"/>
        <v>0.3511101373</v>
      </c>
      <c r="O66" s="30">
        <f t="shared" si="8"/>
        <v>0.3491909202</v>
      </c>
      <c r="P66" s="32">
        <v>0.3815</v>
      </c>
      <c r="Q66" s="32">
        <v>0.5428</v>
      </c>
      <c r="R66" s="32">
        <v>0.4558</v>
      </c>
    </row>
    <row r="67" ht="15.75" customHeight="1">
      <c r="B67" s="24">
        <v>31.0</v>
      </c>
      <c r="C67" s="26">
        <f t="shared" si="3"/>
        <v>0.2944444444</v>
      </c>
      <c r="D67" s="27">
        <v>4.5766</v>
      </c>
      <c r="E67" s="27">
        <v>27.6454</v>
      </c>
      <c r="F67" s="27">
        <v>14.4986</v>
      </c>
      <c r="G67" s="26">
        <f t="shared" ref="G67:I67" si="65">D67/D$96</f>
        <v>0.8316554607</v>
      </c>
      <c r="H67" s="26">
        <f t="shared" si="65"/>
        <v>0.8491332178</v>
      </c>
      <c r="I67" s="26">
        <f t="shared" si="65"/>
        <v>0.8564508793</v>
      </c>
      <c r="J67" s="29">
        <f t="shared" ref="J67:L67" si="66">D67-D66</f>
        <v>0.1037</v>
      </c>
      <c r="K67" s="29">
        <f t="shared" si="66"/>
        <v>0.1985</v>
      </c>
      <c r="L67" s="29">
        <f t="shared" si="66"/>
        <v>0.2951</v>
      </c>
      <c r="M67" s="30">
        <f t="shared" si="6"/>
        <v>0.3264711718</v>
      </c>
      <c r="N67" s="30">
        <f t="shared" si="7"/>
        <v>0.3402735107</v>
      </c>
      <c r="O67" s="30">
        <f t="shared" si="8"/>
        <v>0.3494898988</v>
      </c>
      <c r="P67" s="32">
        <v>0.3874</v>
      </c>
      <c r="Q67" s="32">
        <v>0.5468</v>
      </c>
      <c r="R67" s="32">
        <v>0.4616</v>
      </c>
    </row>
    <row r="68" ht="15.75" customHeight="1">
      <c r="B68" s="24">
        <v>32.0</v>
      </c>
      <c r="C68" s="26">
        <f t="shared" si="3"/>
        <v>0.2972222222</v>
      </c>
      <c r="D68" s="27">
        <v>4.657</v>
      </c>
      <c r="E68" s="27">
        <v>27.6475</v>
      </c>
      <c r="F68" s="27">
        <v>14.8507</v>
      </c>
      <c r="G68" s="26">
        <f t="shared" ref="G68:I68" si="67">D68/D$96</f>
        <v>0.8462656733</v>
      </c>
      <c r="H68" s="26">
        <f t="shared" si="67"/>
        <v>0.8491977197</v>
      </c>
      <c r="I68" s="26">
        <f t="shared" si="67"/>
        <v>0.8772498774</v>
      </c>
      <c r="J68" s="29">
        <f t="shared" ref="J68:L68" si="68">D68-D67</f>
        <v>0.0804</v>
      </c>
      <c r="K68" s="29">
        <f t="shared" si="68"/>
        <v>0.0021</v>
      </c>
      <c r="L68" s="29">
        <f t="shared" si="68"/>
        <v>0.3521</v>
      </c>
      <c r="M68" s="30">
        <f t="shared" si="6"/>
        <v>0.3238466758</v>
      </c>
      <c r="N68" s="30">
        <f t="shared" si="7"/>
        <v>0.3233890247</v>
      </c>
      <c r="O68" s="30">
        <f t="shared" si="8"/>
        <v>0.3531204377</v>
      </c>
      <c r="P68" s="32">
        <v>0.3928</v>
      </c>
      <c r="Q68" s="32">
        <v>0.5488</v>
      </c>
      <c r="R68" s="32">
        <v>0.4689</v>
      </c>
    </row>
    <row r="69" ht="15.75" customHeight="1">
      <c r="B69" s="24">
        <v>33.0</v>
      </c>
      <c r="C69" s="26">
        <f t="shared" si="3"/>
        <v>0.3</v>
      </c>
      <c r="D69" s="27">
        <v>4.6707</v>
      </c>
      <c r="E69" s="27">
        <v>27.713</v>
      </c>
      <c r="F69" s="27">
        <v>14.8861</v>
      </c>
      <c r="G69" s="26">
        <f t="shared" ref="G69:I69" si="69">D69/D$96</f>
        <v>0.8487552244</v>
      </c>
      <c r="H69" s="26">
        <f t="shared" si="69"/>
        <v>0.8512095635</v>
      </c>
      <c r="I69" s="26">
        <f t="shared" si="69"/>
        <v>0.8793410008</v>
      </c>
      <c r="J69" s="29">
        <f t="shared" ref="J69:L69" si="70">D69-D68</f>
        <v>0.0137</v>
      </c>
      <c r="K69" s="29">
        <f t="shared" si="70"/>
        <v>0.0655</v>
      </c>
      <c r="L69" s="29">
        <f t="shared" si="70"/>
        <v>0.0354</v>
      </c>
      <c r="M69" s="30">
        <f t="shared" si="6"/>
        <v>0.3093384162</v>
      </c>
      <c r="N69" s="30">
        <f t="shared" si="7"/>
        <v>0.3084568517</v>
      </c>
      <c r="O69" s="30">
        <f t="shared" si="8"/>
        <v>0.3382403596</v>
      </c>
      <c r="P69" s="32">
        <v>0.3959</v>
      </c>
      <c r="Q69" s="32">
        <v>0.5519</v>
      </c>
      <c r="R69" s="32">
        <v>0.4727</v>
      </c>
    </row>
    <row r="70" ht="15.75" customHeight="1">
      <c r="B70" s="24">
        <v>34.0</v>
      </c>
      <c r="C70" s="26">
        <f t="shared" si="3"/>
        <v>0.3027777778</v>
      </c>
      <c r="D70" s="27">
        <v>4.704</v>
      </c>
      <c r="E70" s="27">
        <v>27.8051</v>
      </c>
      <c r="F70" s="27">
        <v>14.9993</v>
      </c>
      <c r="G70" s="26">
        <f t="shared" ref="G70:I70" si="71">D70/D$96</f>
        <v>0.8548064692</v>
      </c>
      <c r="H70" s="26">
        <f t="shared" si="71"/>
        <v>0.8540384308</v>
      </c>
      <c r="I70" s="26">
        <f t="shared" si="71"/>
        <v>0.8860278698</v>
      </c>
      <c r="J70" s="29">
        <f t="shared" ref="J70:L70" si="72">D70-D69</f>
        <v>0.0333</v>
      </c>
      <c r="K70" s="29">
        <f t="shared" si="72"/>
        <v>0.0921</v>
      </c>
      <c r="L70" s="29">
        <f t="shared" si="72"/>
        <v>0.1132</v>
      </c>
      <c r="M70" s="30">
        <f t="shared" si="6"/>
        <v>0.2983222371</v>
      </c>
      <c r="N70" s="30">
        <f t="shared" si="7"/>
        <v>0.294343788</v>
      </c>
      <c r="O70" s="30">
        <f t="shared" si="8"/>
        <v>0.3279075691</v>
      </c>
      <c r="P70" s="32">
        <v>0.3993</v>
      </c>
      <c r="Q70" s="32">
        <v>0.5549</v>
      </c>
      <c r="R70" s="32">
        <v>0.4765</v>
      </c>
    </row>
    <row r="71" ht="15.75" customHeight="1">
      <c r="B71" s="24">
        <v>35.0</v>
      </c>
      <c r="C71" s="26">
        <f t="shared" si="3"/>
        <v>0.3055555556</v>
      </c>
      <c r="D71" s="27">
        <v>4.788</v>
      </c>
      <c r="E71" s="27">
        <v>28.4641</v>
      </c>
      <c r="F71" s="27">
        <v>15.1539</v>
      </c>
      <c r="G71" s="26">
        <f t="shared" ref="G71:I71" si="73">D71/D$96</f>
        <v>0.8700708704</v>
      </c>
      <c r="H71" s="26">
        <f t="shared" si="73"/>
        <v>0.8742797292</v>
      </c>
      <c r="I71" s="26">
        <f t="shared" si="73"/>
        <v>0.8951602899</v>
      </c>
      <c r="J71" s="29">
        <f t="shared" ref="J71:L71" si="74">D71-D70</f>
        <v>0.084</v>
      </c>
      <c r="K71" s="29">
        <f t="shared" si="74"/>
        <v>0.659</v>
      </c>
      <c r="L71" s="29">
        <f t="shared" si="74"/>
        <v>0.1546</v>
      </c>
      <c r="M71" s="30">
        <f t="shared" si="6"/>
        <v>0.2963391437</v>
      </c>
      <c r="N71" s="30">
        <f t="shared" si="7"/>
        <v>0.2976876056</v>
      </c>
      <c r="O71" s="30">
        <f t="shared" si="8"/>
        <v>0.3199945435</v>
      </c>
      <c r="P71" s="32">
        <v>0.405</v>
      </c>
      <c r="Q71" s="32">
        <v>0.5639</v>
      </c>
      <c r="R71" s="32">
        <v>0.4813</v>
      </c>
    </row>
    <row r="72" ht="15.75" customHeight="1">
      <c r="B72" s="24">
        <v>36.0</v>
      </c>
      <c r="C72" s="26">
        <f t="shared" si="3"/>
        <v>0.3083333333</v>
      </c>
      <c r="D72" s="27">
        <v>4.8429</v>
      </c>
      <c r="E72" s="27">
        <v>28.9808</v>
      </c>
      <c r="F72" s="27">
        <v>15.2003</v>
      </c>
      <c r="G72" s="26">
        <f t="shared" ref="G72:I72" si="75">D72/D$96</f>
        <v>0.880047247</v>
      </c>
      <c r="H72" s="26">
        <f t="shared" si="75"/>
        <v>0.8901502586</v>
      </c>
      <c r="I72" s="26">
        <f t="shared" si="75"/>
        <v>0.8979011974</v>
      </c>
      <c r="J72" s="29">
        <f t="shared" ref="J72:L72" si="76">D72-D71</f>
        <v>0.0549</v>
      </c>
      <c r="K72" s="29">
        <f t="shared" si="76"/>
        <v>0.5167</v>
      </c>
      <c r="L72" s="29">
        <f t="shared" si="76"/>
        <v>0.0464</v>
      </c>
      <c r="M72" s="30">
        <f t="shared" si="6"/>
        <v>0.2891713798</v>
      </c>
      <c r="N72" s="30">
        <f t="shared" si="7"/>
        <v>0.2966494965</v>
      </c>
      <c r="O72" s="30">
        <f t="shared" si="8"/>
        <v>0.305757398</v>
      </c>
      <c r="P72" s="32">
        <v>0.4095</v>
      </c>
      <c r="Q72" s="32">
        <v>0.571</v>
      </c>
      <c r="R72" s="32">
        <v>0.4848</v>
      </c>
    </row>
    <row r="73" ht="15.75" customHeight="1">
      <c r="B73" s="24">
        <v>37.0</v>
      </c>
      <c r="C73" s="26">
        <f t="shared" si="3"/>
        <v>0.3111111111</v>
      </c>
      <c r="D73" s="27">
        <v>4.8738</v>
      </c>
      <c r="E73" s="27">
        <v>29.2226</v>
      </c>
      <c r="F73" s="27">
        <v>15.1557</v>
      </c>
      <c r="G73" s="26">
        <f t="shared" ref="G73:I73" si="77">D73/D$96</f>
        <v>0.885662366</v>
      </c>
      <c r="H73" s="26">
        <f t="shared" si="77"/>
        <v>0.8975771872</v>
      </c>
      <c r="I73" s="26">
        <f t="shared" si="77"/>
        <v>0.8952666182</v>
      </c>
      <c r="J73" s="29">
        <f t="shared" ref="J73:L73" si="78">D73-D72</f>
        <v>0.0309</v>
      </c>
      <c r="K73" s="29">
        <f t="shared" si="78"/>
        <v>0.2418</v>
      </c>
      <c r="L73" s="29">
        <f t="shared" si="78"/>
        <v>-0.0446</v>
      </c>
      <c r="M73" s="30">
        <f t="shared" si="6"/>
        <v>0.277727599</v>
      </c>
      <c r="N73" s="30">
        <f t="shared" si="7"/>
        <v>0.287146232</v>
      </c>
      <c r="O73" s="30">
        <f t="shared" si="8"/>
        <v>0.2862014456</v>
      </c>
      <c r="P73" s="32">
        <v>0.4132</v>
      </c>
      <c r="Q73" s="32">
        <v>0.575</v>
      </c>
      <c r="R73" s="32">
        <v>0.4872</v>
      </c>
    </row>
    <row r="74" ht="15.75" customHeight="1">
      <c r="B74" s="24">
        <v>38.0</v>
      </c>
      <c r="C74" s="26">
        <f t="shared" si="3"/>
        <v>0.3138888889</v>
      </c>
      <c r="D74" s="27">
        <v>4.9096</v>
      </c>
      <c r="E74" s="27">
        <v>29.3781</v>
      </c>
      <c r="F74" s="27">
        <v>15.3306</v>
      </c>
      <c r="G74" s="26">
        <f t="shared" ref="G74:I74" si="79">D74/D$96</f>
        <v>0.8921679084</v>
      </c>
      <c r="H74" s="26">
        <f t="shared" si="79"/>
        <v>0.9023533965</v>
      </c>
      <c r="I74" s="26">
        <f t="shared" si="79"/>
        <v>0.9055981853</v>
      </c>
      <c r="J74" s="29">
        <f t="shared" ref="J74:L74" si="80">D74-D73</f>
        <v>0.0358</v>
      </c>
      <c r="K74" s="29">
        <f t="shared" si="80"/>
        <v>0.1555</v>
      </c>
      <c r="L74" s="29">
        <f t="shared" si="80"/>
        <v>0.1749</v>
      </c>
      <c r="M74" s="30">
        <f t="shared" si="6"/>
        <v>0.2671568383</v>
      </c>
      <c r="N74" s="30">
        <f t="shared" si="7"/>
        <v>0.2749854813</v>
      </c>
      <c r="O74" s="30">
        <f t="shared" si="8"/>
        <v>0.2794749231</v>
      </c>
      <c r="P74" s="32">
        <v>0.4171</v>
      </c>
      <c r="Q74" s="32">
        <v>0.5801</v>
      </c>
      <c r="R74" s="32">
        <v>0.4917</v>
      </c>
    </row>
    <row r="75" ht="15.75" customHeight="1">
      <c r="B75" s="24">
        <v>39.0</v>
      </c>
      <c r="C75" s="26">
        <f t="shared" si="3"/>
        <v>0.3166666667</v>
      </c>
      <c r="D75" s="27">
        <v>4.9786</v>
      </c>
      <c r="E75" s="27">
        <v>29.6493</v>
      </c>
      <c r="F75" s="27">
        <v>15.5482</v>
      </c>
      <c r="G75" s="26">
        <f t="shared" ref="G75:I75" si="81">D75/D$96</f>
        <v>0.9047065237</v>
      </c>
      <c r="H75" s="26">
        <f t="shared" si="81"/>
        <v>0.9106833511</v>
      </c>
      <c r="I75" s="26">
        <f t="shared" si="81"/>
        <v>0.9184520961</v>
      </c>
      <c r="J75" s="29">
        <f t="shared" ref="J75:L75" si="82">D75-D74</f>
        <v>0.069</v>
      </c>
      <c r="K75" s="29">
        <f t="shared" si="82"/>
        <v>0.2712</v>
      </c>
      <c r="L75" s="29">
        <f t="shared" si="82"/>
        <v>0.2176</v>
      </c>
      <c r="M75" s="30">
        <f t="shared" si="6"/>
        <v>0.2625012343</v>
      </c>
      <c r="N75" s="30">
        <f t="shared" si="7"/>
        <v>0.2663875481</v>
      </c>
      <c r="O75" s="30">
        <f t="shared" si="8"/>
        <v>0.2752441485</v>
      </c>
      <c r="P75" s="32">
        <v>0.422</v>
      </c>
      <c r="Q75" s="32">
        <v>0.5841</v>
      </c>
      <c r="R75" s="32">
        <v>0.4972</v>
      </c>
    </row>
    <row r="76" ht="15.75" customHeight="1">
      <c r="B76" s="24">
        <v>40.0</v>
      </c>
      <c r="C76" s="26">
        <f t="shared" si="3"/>
        <v>0.3194444444</v>
      </c>
      <c r="D76" s="27">
        <v>5.0259</v>
      </c>
      <c r="E76" s="27">
        <v>29.8468</v>
      </c>
      <c r="F76" s="27">
        <v>15.6289</v>
      </c>
      <c r="G76" s="26">
        <f t="shared" ref="G76:I76" si="83">D76/D$96</f>
        <v>0.9133018354</v>
      </c>
      <c r="H76" s="26">
        <f t="shared" si="83"/>
        <v>0.9167495976</v>
      </c>
      <c r="I76" s="26">
        <f t="shared" si="83"/>
        <v>0.9232191485</v>
      </c>
      <c r="J76" s="29">
        <f t="shared" ref="J76:L76" si="84">D76-D75</f>
        <v>0.0473</v>
      </c>
      <c r="K76" s="29">
        <f t="shared" si="84"/>
        <v>0.1975</v>
      </c>
      <c r="L76" s="29">
        <f t="shared" si="84"/>
        <v>0.0807</v>
      </c>
      <c r="M76" s="30">
        <f t="shared" si="6"/>
        <v>0.2539793984</v>
      </c>
      <c r="N76" s="30">
        <f t="shared" si="7"/>
        <v>0.2555201279</v>
      </c>
      <c r="O76" s="30">
        <f t="shared" si="8"/>
        <v>0.2630117841</v>
      </c>
      <c r="P76" s="32">
        <v>0.4258</v>
      </c>
      <c r="Q76" s="32">
        <v>0.5881</v>
      </c>
      <c r="R76" s="32">
        <v>0.5003</v>
      </c>
    </row>
    <row r="77" ht="15.75" customHeight="1">
      <c r="B77" s="24">
        <v>41.0</v>
      </c>
      <c r="C77" s="26">
        <f t="shared" si="3"/>
        <v>0.3222222222</v>
      </c>
      <c r="D77" s="27">
        <v>5.1067</v>
      </c>
      <c r="E77" s="27">
        <v>30.0921</v>
      </c>
      <c r="F77" s="27">
        <v>15.8368</v>
      </c>
      <c r="G77" s="26">
        <f t="shared" ref="G77:I77" si="85">D77/D$96</f>
        <v>0.9279847356</v>
      </c>
      <c r="H77" s="26">
        <f t="shared" si="85"/>
        <v>0.9242840293</v>
      </c>
      <c r="I77" s="26">
        <f t="shared" si="85"/>
        <v>0.9355000679</v>
      </c>
      <c r="J77" s="29">
        <f t="shared" ref="J77:L77" si="86">D77-D76</f>
        <v>0.0808</v>
      </c>
      <c r="K77" s="29">
        <f t="shared" si="86"/>
        <v>0.2453</v>
      </c>
      <c r="L77" s="29">
        <f t="shared" si="86"/>
        <v>0.2079</v>
      </c>
      <c r="M77" s="30">
        <f t="shared" si="6"/>
        <v>0.2514261694</v>
      </c>
      <c r="N77" s="30">
        <f t="shared" si="7"/>
        <v>0.2461246408</v>
      </c>
      <c r="O77" s="30">
        <f t="shared" si="8"/>
        <v>0.2582140597</v>
      </c>
      <c r="P77" s="32">
        <v>0.4303</v>
      </c>
      <c r="Q77" s="32">
        <v>0.5932</v>
      </c>
      <c r="R77" s="32">
        <v>0.5052</v>
      </c>
    </row>
    <row r="78" ht="15.75" customHeight="1">
      <c r="B78" s="24">
        <v>42.0</v>
      </c>
      <c r="C78" s="26">
        <f t="shared" si="3"/>
        <v>0.325</v>
      </c>
      <c r="D78" s="27">
        <v>5.1716</v>
      </c>
      <c r="E78" s="27">
        <v>30.6129</v>
      </c>
      <c r="F78" s="27">
        <v>15.9913</v>
      </c>
      <c r="G78" s="26">
        <f t="shared" ref="G78:I78" si="87">D78/D$96</f>
        <v>0.9397783027</v>
      </c>
      <c r="H78" s="26">
        <f t="shared" si="87"/>
        <v>0.940280491</v>
      </c>
      <c r="I78" s="26">
        <f t="shared" si="87"/>
        <v>0.9446265809</v>
      </c>
      <c r="J78" s="29">
        <f t="shared" ref="J78:L78" si="88">D78-D77</f>
        <v>0.0649</v>
      </c>
      <c r="K78" s="29">
        <f t="shared" si="88"/>
        <v>0.5208</v>
      </c>
      <c r="L78" s="29">
        <f t="shared" si="88"/>
        <v>0.1545</v>
      </c>
      <c r="M78" s="30">
        <f t="shared" si="6"/>
        <v>0.2460400792</v>
      </c>
      <c r="N78" s="30">
        <f t="shared" si="7"/>
        <v>0.2452127855</v>
      </c>
      <c r="O78" s="30">
        <f t="shared" si="8"/>
        <v>0.2502951893</v>
      </c>
      <c r="P78" s="32">
        <v>0.4351</v>
      </c>
      <c r="Q78" s="32">
        <v>0.6012</v>
      </c>
      <c r="R78" s="32">
        <v>0.5104</v>
      </c>
    </row>
    <row r="79" ht="15.75" customHeight="1">
      <c r="B79" s="24">
        <v>43.0</v>
      </c>
      <c r="C79" s="26">
        <f t="shared" si="3"/>
        <v>0.3277777778</v>
      </c>
      <c r="D79" s="27">
        <v>5.1754</v>
      </c>
      <c r="E79" s="27">
        <v>30.7337</v>
      </c>
      <c r="F79" s="27">
        <v>16.0136</v>
      </c>
      <c r="G79" s="26">
        <f t="shared" ref="G79:I79" si="89">D79/D$96</f>
        <v>0.9404688352</v>
      </c>
      <c r="H79" s="26">
        <f t="shared" si="89"/>
        <v>0.9439908837</v>
      </c>
      <c r="I79" s="26">
        <f t="shared" si="89"/>
        <v>0.9459438705</v>
      </c>
      <c r="J79" s="29">
        <f t="shared" ref="J79:L79" si="90">D79-D78</f>
        <v>0.0038</v>
      </c>
      <c r="K79" s="29">
        <f t="shared" si="90"/>
        <v>0.1208</v>
      </c>
      <c r="L79" s="29">
        <f t="shared" si="90"/>
        <v>0.0223</v>
      </c>
      <c r="M79" s="30">
        <f t="shared" si="6"/>
        <v>0.2297679627</v>
      </c>
      <c r="N79" s="30">
        <f t="shared" si="7"/>
        <v>0.2319834976</v>
      </c>
      <c r="O79" s="30">
        <f t="shared" si="8"/>
        <v>0.2346494367</v>
      </c>
      <c r="P79" s="32">
        <v>0.4377</v>
      </c>
      <c r="Q79" s="32">
        <v>0.6042</v>
      </c>
      <c r="R79" s="32">
        <v>0.5128</v>
      </c>
    </row>
    <row r="80" ht="15.75" customHeight="1">
      <c r="B80" s="24">
        <v>44.0</v>
      </c>
      <c r="C80" s="26">
        <f t="shared" si="3"/>
        <v>0.3305555556</v>
      </c>
      <c r="D80" s="27">
        <v>5.1784</v>
      </c>
      <c r="E80" s="27">
        <v>30.67</v>
      </c>
      <c r="F80" s="27">
        <v>16.0745</v>
      </c>
      <c r="G80" s="26">
        <f t="shared" ref="G80:I80" si="91">D80/D$96</f>
        <v>0.9410139924</v>
      </c>
      <c r="H80" s="26">
        <f t="shared" si="91"/>
        <v>0.9420343273</v>
      </c>
      <c r="I80" s="26">
        <f t="shared" si="91"/>
        <v>0.9495413115</v>
      </c>
      <c r="J80" s="29">
        <f t="shared" ref="J80:L80" si="92">D80-D79</f>
        <v>0.003</v>
      </c>
      <c r="K80" s="29">
        <f t="shared" si="92"/>
        <v>-0.0637</v>
      </c>
      <c r="L80" s="29">
        <f t="shared" si="92"/>
        <v>0.0609</v>
      </c>
      <c r="M80" s="30">
        <f t="shared" si="6"/>
        <v>0.2133533122</v>
      </c>
      <c r="N80" s="30">
        <f t="shared" si="7"/>
        <v>0.2130727939</v>
      </c>
      <c r="O80" s="30">
        <f t="shared" si="8"/>
        <v>0.2212597935</v>
      </c>
      <c r="P80" s="32">
        <v>0.4405</v>
      </c>
      <c r="Q80" s="32">
        <v>0.6052</v>
      </c>
      <c r="R80" s="32">
        <v>0.5162</v>
      </c>
    </row>
    <row r="81" ht="15.75" customHeight="1">
      <c r="B81" s="24">
        <v>45.0</v>
      </c>
      <c r="C81" s="26">
        <f t="shared" si="3"/>
        <v>0.3333333333</v>
      </c>
      <c r="D81" s="27">
        <v>5.1822</v>
      </c>
      <c r="E81" s="27">
        <v>30.6976</v>
      </c>
      <c r="F81" s="27">
        <v>16.0871</v>
      </c>
      <c r="G81" s="26">
        <f t="shared" ref="G81:I81" si="93">D81/D$96</f>
        <v>0.9417045248</v>
      </c>
      <c r="H81" s="26">
        <f t="shared" si="93"/>
        <v>0.942882066</v>
      </c>
      <c r="I81" s="26">
        <f t="shared" si="93"/>
        <v>0.9502856096</v>
      </c>
      <c r="J81" s="29">
        <f t="shared" ref="J81:L81" si="94">D81-D80</f>
        <v>0.0038</v>
      </c>
      <c r="K81" s="29">
        <f t="shared" si="94"/>
        <v>0.0276</v>
      </c>
      <c r="L81" s="29">
        <f t="shared" si="94"/>
        <v>0.0126</v>
      </c>
      <c r="M81" s="30">
        <f t="shared" si="6"/>
        <v>0.1970811957</v>
      </c>
      <c r="N81" s="30">
        <f t="shared" si="7"/>
        <v>0.1969735442</v>
      </c>
      <c r="O81" s="30">
        <f t="shared" si="8"/>
        <v>0.2050470911</v>
      </c>
      <c r="P81" s="32">
        <v>0.4429</v>
      </c>
      <c r="Q81" s="32">
        <v>0.6073</v>
      </c>
      <c r="R81" s="32">
        <v>0.518</v>
      </c>
    </row>
    <row r="82" ht="15.75" customHeight="1">
      <c r="B82" s="24">
        <v>46.0</v>
      </c>
      <c r="C82" s="26">
        <f t="shared" si="3"/>
        <v>0.3361111111</v>
      </c>
      <c r="D82" s="27">
        <v>5.2327</v>
      </c>
      <c r="E82" s="27">
        <v>31.1241</v>
      </c>
      <c r="F82" s="27">
        <v>16.0968</v>
      </c>
      <c r="G82" s="26">
        <f t="shared" ref="G82:I82" si="95">D82/D$96</f>
        <v>0.9508813375</v>
      </c>
      <c r="H82" s="26">
        <f t="shared" si="95"/>
        <v>0.9559820869</v>
      </c>
      <c r="I82" s="26">
        <f t="shared" si="95"/>
        <v>0.9508586011</v>
      </c>
      <c r="J82" s="29">
        <f t="shared" ref="J82:L82" si="96">D82-D81</f>
        <v>0.0505</v>
      </c>
      <c r="K82" s="29">
        <f t="shared" si="96"/>
        <v>0.4265</v>
      </c>
      <c r="L82" s="29">
        <f t="shared" si="96"/>
        <v>0.0097</v>
      </c>
      <c r="M82" s="30">
        <f t="shared" si="6"/>
        <v>0.1891294954</v>
      </c>
      <c r="N82" s="30">
        <f t="shared" si="7"/>
        <v>0.1931578541</v>
      </c>
      <c r="O82" s="30">
        <f t="shared" si="8"/>
        <v>0.1886648883</v>
      </c>
      <c r="P82" s="32">
        <v>0.4467</v>
      </c>
      <c r="Q82" s="32">
        <v>0.6133</v>
      </c>
      <c r="R82" s="32">
        <v>0.5204</v>
      </c>
    </row>
    <row r="83" ht="15.75" customHeight="1">
      <c r="B83" s="24">
        <v>47.0</v>
      </c>
      <c r="C83" s="26">
        <f t="shared" si="3"/>
        <v>0.3388888889</v>
      </c>
      <c r="D83" s="27">
        <v>5.2821</v>
      </c>
      <c r="E83" s="27">
        <v>31.2753</v>
      </c>
      <c r="F83" s="27">
        <v>16.2631</v>
      </c>
      <c r="G83" s="26">
        <f t="shared" ref="G83:I83" si="97">D83/D$96</f>
        <v>0.9598582591</v>
      </c>
      <c r="H83" s="26">
        <f t="shared" si="97"/>
        <v>0.9606262209</v>
      </c>
      <c r="I83" s="26">
        <f t="shared" si="97"/>
        <v>0.9606821552</v>
      </c>
      <c r="J83" s="29">
        <f t="shared" ref="J83:L83" si="98">D83-D82</f>
        <v>0.0494</v>
      </c>
      <c r="K83" s="29">
        <f t="shared" si="98"/>
        <v>0.1512</v>
      </c>
      <c r="L83" s="29">
        <f t="shared" si="98"/>
        <v>0.1663</v>
      </c>
      <c r="M83" s="30">
        <f t="shared" si="6"/>
        <v>0.1809818109</v>
      </c>
      <c r="N83" s="30">
        <f t="shared" si="7"/>
        <v>0.1808646911</v>
      </c>
      <c r="O83" s="30">
        <f t="shared" si="8"/>
        <v>0.1814357094</v>
      </c>
      <c r="P83" s="32">
        <v>0.4505</v>
      </c>
      <c r="Q83" s="32">
        <v>0.6163</v>
      </c>
      <c r="R83" s="32">
        <v>0.5249</v>
      </c>
    </row>
    <row r="84" ht="15.75" customHeight="1">
      <c r="B84" s="24">
        <v>48.0</v>
      </c>
      <c r="C84" s="26">
        <f t="shared" si="3"/>
        <v>0.3416666667</v>
      </c>
      <c r="D84" s="27">
        <v>5.337</v>
      </c>
      <c r="E84" s="27">
        <v>31.9186</v>
      </c>
      <c r="F84" s="27">
        <v>16.3334</v>
      </c>
      <c r="G84" s="26">
        <f t="shared" ref="G84:I84" si="99">D84/D$96</f>
        <v>0.9698346357</v>
      </c>
      <c r="H84" s="26">
        <f t="shared" si="99"/>
        <v>0.9803852911</v>
      </c>
      <c r="I84" s="26">
        <f t="shared" si="99"/>
        <v>0.9648348662</v>
      </c>
      <c r="J84" s="29">
        <f t="shared" ref="J84:L84" si="100">D84-D83</f>
        <v>0.0549</v>
      </c>
      <c r="K84" s="29">
        <f t="shared" si="100"/>
        <v>0.6433</v>
      </c>
      <c r="L84" s="29">
        <f t="shared" si="100"/>
        <v>0.0703</v>
      </c>
      <c r="M84" s="30">
        <f t="shared" si="6"/>
        <v>0.173814047</v>
      </c>
      <c r="N84" s="30">
        <f t="shared" si="7"/>
        <v>0.1837250494</v>
      </c>
      <c r="O84" s="30">
        <f t="shared" si="8"/>
        <v>0.1685954813</v>
      </c>
      <c r="P84" s="32">
        <v>0.4548</v>
      </c>
      <c r="Q84" s="32">
        <v>0.6244</v>
      </c>
      <c r="R84" s="32">
        <v>0.5276</v>
      </c>
    </row>
    <row r="85" ht="15.75" customHeight="1">
      <c r="B85" s="24">
        <v>49.0</v>
      </c>
      <c r="C85" s="26">
        <f t="shared" si="3"/>
        <v>0.3444444444</v>
      </c>
      <c r="D85" s="27">
        <v>5.3401</v>
      </c>
      <c r="E85" s="27">
        <v>32.1005</v>
      </c>
      <c r="F85" s="27">
        <v>16.4518</v>
      </c>
      <c r="G85" s="26">
        <f t="shared" ref="G85:I85" si="101">D85/D$96</f>
        <v>0.9703979647</v>
      </c>
      <c r="H85" s="26">
        <f t="shared" si="101"/>
        <v>0.9859723809</v>
      </c>
      <c r="I85" s="26">
        <f t="shared" si="101"/>
        <v>0.9718289059</v>
      </c>
      <c r="J85" s="29">
        <f t="shared" ref="J85:L85" si="102">D85-D84</f>
        <v>0.0031</v>
      </c>
      <c r="K85" s="29">
        <f t="shared" si="102"/>
        <v>0.1819</v>
      </c>
      <c r="L85" s="29">
        <f t="shared" si="102"/>
        <v>0.1184</v>
      </c>
      <c r="M85" s="30">
        <f t="shared" si="6"/>
        <v>0.1574172133</v>
      </c>
      <c r="N85" s="30">
        <f t="shared" si="7"/>
        <v>0.1723772493</v>
      </c>
      <c r="O85" s="30">
        <f t="shared" si="8"/>
        <v>0.1585666226</v>
      </c>
      <c r="P85" s="32">
        <v>0.4572</v>
      </c>
      <c r="Q85" s="32">
        <v>0.6284</v>
      </c>
      <c r="R85" s="32">
        <v>0.5301</v>
      </c>
    </row>
    <row r="86" ht="15.75" customHeight="1">
      <c r="B86" s="24">
        <v>50.0</v>
      </c>
      <c r="C86" s="26">
        <f t="shared" si="3"/>
        <v>0.3472222222</v>
      </c>
      <c r="D86" s="27">
        <v>5.3529</v>
      </c>
      <c r="E86" s="27">
        <v>32.0376</v>
      </c>
      <c r="F86" s="27">
        <v>16.4869</v>
      </c>
      <c r="G86" s="26">
        <f t="shared" ref="G86:I86" si="103">D86/D$96</f>
        <v>0.9727239687</v>
      </c>
      <c r="H86" s="26">
        <f t="shared" si="103"/>
        <v>0.9840403966</v>
      </c>
      <c r="I86" s="26">
        <f t="shared" si="103"/>
        <v>0.9739023079</v>
      </c>
      <c r="J86" s="29">
        <f t="shared" ref="J86:L86" si="104">D86-D85</f>
        <v>0.0128</v>
      </c>
      <c r="K86" s="29">
        <f t="shared" si="104"/>
        <v>-0.0629</v>
      </c>
      <c r="L86" s="29">
        <f t="shared" si="104"/>
        <v>0.0351</v>
      </c>
      <c r="M86" s="30">
        <f t="shared" si="6"/>
        <v>0.1427486031</v>
      </c>
      <c r="N86" s="30">
        <f t="shared" si="7"/>
        <v>0.1534911805</v>
      </c>
      <c r="O86" s="30">
        <f t="shared" si="8"/>
        <v>0.1436690099</v>
      </c>
      <c r="P86" s="32">
        <v>0.4597</v>
      </c>
      <c r="Q86" s="32">
        <v>0.6304</v>
      </c>
      <c r="R86" s="32">
        <v>0.5318</v>
      </c>
    </row>
    <row r="87" ht="15.75" customHeight="1">
      <c r="B87" s="24">
        <v>51.0</v>
      </c>
      <c r="C87" s="26">
        <f t="shared" si="3"/>
        <v>0.35</v>
      </c>
      <c r="D87" s="27">
        <v>5.4187</v>
      </c>
      <c r="E87" s="27">
        <v>32.1663</v>
      </c>
      <c r="F87" s="27">
        <v>16.5656</v>
      </c>
      <c r="G87" s="26">
        <f t="shared" ref="G87:I87" si="105">D87/D$96</f>
        <v>0.984681083</v>
      </c>
      <c r="H87" s="26">
        <f t="shared" si="105"/>
        <v>0.9879934392</v>
      </c>
      <c r="I87" s="26">
        <f t="shared" si="105"/>
        <v>0.9785512178</v>
      </c>
      <c r="J87" s="29">
        <f t="shared" ref="J87:L87" si="106">D87-D86</f>
        <v>0.0658</v>
      </c>
      <c r="K87" s="29">
        <f t="shared" si="106"/>
        <v>0.1287</v>
      </c>
      <c r="L87" s="29">
        <f t="shared" si="106"/>
        <v>0.0787</v>
      </c>
      <c r="M87" s="30">
        <f t="shared" si="6"/>
        <v>0.1375228636</v>
      </c>
      <c r="N87" s="30">
        <f t="shared" si="7"/>
        <v>0.1405051619</v>
      </c>
      <c r="O87" s="30">
        <f t="shared" si="8"/>
        <v>0.1313197487</v>
      </c>
      <c r="P87" s="32">
        <v>0.4636</v>
      </c>
      <c r="Q87" s="32">
        <v>0.6324</v>
      </c>
      <c r="R87" s="32">
        <v>0.5352</v>
      </c>
    </row>
    <row r="88" ht="15.75" customHeight="1">
      <c r="B88" s="24">
        <v>52.0</v>
      </c>
      <c r="C88" s="26">
        <f t="shared" si="3"/>
        <v>0.3527777778</v>
      </c>
      <c r="D88" s="27">
        <v>5.3831</v>
      </c>
      <c r="E88" s="27">
        <v>32.2269</v>
      </c>
      <c r="F88" s="27">
        <v>16.4853</v>
      </c>
      <c r="G88" s="26">
        <f t="shared" ref="G88:I88" si="107">D88/D$96</f>
        <v>0.9782118844</v>
      </c>
      <c r="H88" s="26">
        <f t="shared" si="107"/>
        <v>0.9898547787</v>
      </c>
      <c r="I88" s="26">
        <f t="shared" si="107"/>
        <v>0.9738077939</v>
      </c>
      <c r="J88" s="29">
        <f t="shared" ref="J88:L88" si="108">D88-D87</f>
        <v>-0.0356</v>
      </c>
      <c r="K88" s="29">
        <f t="shared" si="108"/>
        <v>0.0606</v>
      </c>
      <c r="L88" s="29">
        <f t="shared" si="108"/>
        <v>-0.0803</v>
      </c>
      <c r="M88" s="30">
        <f t="shared" si="6"/>
        <v>0.1142309526</v>
      </c>
      <c r="N88" s="30">
        <f t="shared" si="7"/>
        <v>0.1254221004</v>
      </c>
      <c r="O88" s="30">
        <f t="shared" si="8"/>
        <v>0.1096771874</v>
      </c>
      <c r="P88" s="32">
        <v>0.4648</v>
      </c>
      <c r="Q88" s="32">
        <v>0.6344</v>
      </c>
      <c r="R88" s="32">
        <v>0.5363</v>
      </c>
    </row>
    <row r="89" ht="15.75" customHeight="1">
      <c r="B89" s="24">
        <v>53.0</v>
      </c>
      <c r="C89" s="26">
        <f t="shared" si="3"/>
        <v>0.3555555556</v>
      </c>
      <c r="D89" s="27">
        <v>5.37</v>
      </c>
      <c r="E89" s="27">
        <v>32.2852</v>
      </c>
      <c r="F89" s="27">
        <v>16.4289</v>
      </c>
      <c r="G89" s="26">
        <f t="shared" ref="G89:I89" si="109">D89/D$96</f>
        <v>0.9758313647</v>
      </c>
      <c r="H89" s="26">
        <f t="shared" si="109"/>
        <v>0.9916454732</v>
      </c>
      <c r="I89" s="26">
        <f t="shared" si="109"/>
        <v>0.9704761736</v>
      </c>
      <c r="J89" s="29">
        <f t="shared" ref="J89:L89" si="110">D89-D88</f>
        <v>-0.0131</v>
      </c>
      <c r="K89" s="29">
        <f t="shared" si="110"/>
        <v>0.0583</v>
      </c>
      <c r="L89" s="29">
        <f t="shared" si="110"/>
        <v>-0.0564</v>
      </c>
      <c r="M89" s="30">
        <f t="shared" si="6"/>
        <v>0.09494780753</v>
      </c>
      <c r="N89" s="30">
        <f t="shared" si="7"/>
        <v>0.1102682137</v>
      </c>
      <c r="O89" s="30">
        <f t="shared" si="8"/>
        <v>0.08943154347</v>
      </c>
      <c r="P89" s="32">
        <v>0.4671</v>
      </c>
      <c r="Q89" s="32">
        <v>0.6365</v>
      </c>
      <c r="R89" s="32">
        <v>0.5377</v>
      </c>
    </row>
    <row r="90" ht="15.75" customHeight="1">
      <c r="B90" s="24">
        <v>54.0</v>
      </c>
      <c r="C90" s="26">
        <f t="shared" si="3"/>
        <v>0.3583333333</v>
      </c>
      <c r="D90" s="27">
        <v>5.3954</v>
      </c>
      <c r="E90" s="27">
        <v>32.3784</v>
      </c>
      <c r="F90" s="27">
        <v>16.5063</v>
      </c>
      <c r="G90" s="26">
        <f t="shared" ref="G90:I90" si="111">D90/D$96</f>
        <v>0.9804470289</v>
      </c>
      <c r="H90" s="26">
        <f t="shared" si="111"/>
        <v>0.9945081272</v>
      </c>
      <c r="I90" s="26">
        <f t="shared" si="111"/>
        <v>0.9750482908</v>
      </c>
      <c r="J90" s="29">
        <f t="shared" ref="J90:L90" si="112">D90-D89</f>
        <v>0.0254</v>
      </c>
      <c r="K90" s="29">
        <f t="shared" si="112"/>
        <v>0.0932</v>
      </c>
      <c r="L90" s="29">
        <f t="shared" si="112"/>
        <v>0.0774</v>
      </c>
      <c r="M90" s="30">
        <f t="shared" si="6"/>
        <v>0.0825241062</v>
      </c>
      <c r="N90" s="30">
        <f t="shared" si="7"/>
        <v>0.0961890229</v>
      </c>
      <c r="O90" s="30">
        <f t="shared" si="8"/>
        <v>0.07700629925</v>
      </c>
      <c r="P90" s="32">
        <v>0.47</v>
      </c>
      <c r="Q90" s="32">
        <v>0.6395</v>
      </c>
      <c r="R90" s="32">
        <v>0.5404</v>
      </c>
    </row>
    <row r="91" ht="15.75" customHeight="1">
      <c r="B91" s="24">
        <v>55.0</v>
      </c>
      <c r="C91" s="26">
        <f t="shared" si="3"/>
        <v>0.3611111111</v>
      </c>
      <c r="D91" s="27">
        <v>5.4371</v>
      </c>
      <c r="E91" s="27">
        <v>32.4387</v>
      </c>
      <c r="F91" s="27">
        <v>16.5989</v>
      </c>
      <c r="G91" s="26">
        <f t="shared" ref="G91:I91" si="113">D91/D$96</f>
        <v>0.9880247138</v>
      </c>
      <c r="H91" s="26">
        <f t="shared" si="113"/>
        <v>0.9963602521</v>
      </c>
      <c r="I91" s="26">
        <f t="shared" si="113"/>
        <v>0.9805182914</v>
      </c>
      <c r="J91" s="29">
        <f t="shared" ref="J91:L91" si="114">D91-D90</f>
        <v>0.0417</v>
      </c>
      <c r="K91" s="29">
        <f t="shared" si="114"/>
        <v>0.0603</v>
      </c>
      <c r="L91" s="29">
        <f t="shared" si="114"/>
        <v>0.0926</v>
      </c>
      <c r="M91" s="30">
        <f t="shared" si="6"/>
        <v>0.073004533</v>
      </c>
      <c r="N91" s="30">
        <f t="shared" si="7"/>
        <v>0.08109672332</v>
      </c>
      <c r="O91" s="30">
        <f t="shared" si="8"/>
        <v>0.06546947115</v>
      </c>
      <c r="P91" s="32">
        <v>0.4731</v>
      </c>
      <c r="Q91" s="32">
        <v>0.6415</v>
      </c>
      <c r="R91" s="32">
        <v>0.5435</v>
      </c>
    </row>
    <row r="92" ht="15.75" customHeight="1">
      <c r="B92" s="24">
        <v>56.0</v>
      </c>
      <c r="C92" s="26">
        <f t="shared" si="3"/>
        <v>0.3638888889</v>
      </c>
      <c r="D92" s="27">
        <v>5.4818</v>
      </c>
      <c r="E92" s="27">
        <v>32.407</v>
      </c>
      <c r="F92" s="27">
        <v>16.7294</v>
      </c>
      <c r="G92" s="26">
        <f t="shared" ref="G92:I92" si="115">D92/D$96</f>
        <v>0.9961475559</v>
      </c>
      <c r="H92" s="26">
        <f t="shared" si="115"/>
        <v>0.9953865812</v>
      </c>
      <c r="I92" s="26">
        <f t="shared" si="115"/>
        <v>0.9882270936</v>
      </c>
      <c r="J92" s="29">
        <f t="shared" ref="J92:L92" si="116">D92-D91</f>
        <v>0.0447</v>
      </c>
      <c r="K92" s="29">
        <f t="shared" si="116"/>
        <v>-0.0317</v>
      </c>
      <c r="L92" s="29">
        <f t="shared" si="116"/>
        <v>0.1305</v>
      </c>
      <c r="M92" s="30">
        <f t="shared" si="6"/>
        <v>0.06401946192</v>
      </c>
      <c r="N92" s="30">
        <f t="shared" si="7"/>
        <v>0.06317141425</v>
      </c>
      <c r="O92" s="30">
        <f t="shared" si="8"/>
        <v>0.05614783846</v>
      </c>
      <c r="P92" s="32">
        <v>0.4761</v>
      </c>
      <c r="Q92" s="32">
        <v>0.6425</v>
      </c>
      <c r="R92" s="32">
        <v>0.5463</v>
      </c>
    </row>
    <row r="93" ht="15.75" customHeight="1">
      <c r="B93" s="24">
        <v>57.0</v>
      </c>
      <c r="C93" s="26">
        <f t="shared" si="3"/>
        <v>0.3666666667</v>
      </c>
      <c r="D93" s="27">
        <v>5.4942</v>
      </c>
      <c r="E93" s="27">
        <v>32.3768</v>
      </c>
      <c r="F93" s="27">
        <v>16.8074</v>
      </c>
      <c r="G93" s="26">
        <f t="shared" ref="G93:I93" si="117">D93/D$96</f>
        <v>0.9984008723</v>
      </c>
      <c r="H93" s="26">
        <f t="shared" si="117"/>
        <v>0.994458983</v>
      </c>
      <c r="I93" s="26">
        <f t="shared" si="117"/>
        <v>0.9928346536</v>
      </c>
      <c r="J93" s="29">
        <f t="shared" ref="J93:L93" si="118">D93-D92</f>
        <v>0.0124</v>
      </c>
      <c r="K93" s="29">
        <f t="shared" si="118"/>
        <v>-0.0302</v>
      </c>
      <c r="L93" s="29">
        <f t="shared" si="118"/>
        <v>0.078</v>
      </c>
      <c r="M93" s="30">
        <f t="shared" si="6"/>
        <v>0.04927958477</v>
      </c>
      <c r="N93" s="30">
        <f t="shared" si="7"/>
        <v>0.04529229555</v>
      </c>
      <c r="O93" s="30">
        <f t="shared" si="8"/>
        <v>0.04375766331</v>
      </c>
      <c r="P93" s="32">
        <v>0.4781</v>
      </c>
      <c r="Q93" s="32">
        <v>0.6425</v>
      </c>
      <c r="R93" s="32">
        <v>0.5491</v>
      </c>
    </row>
    <row r="94" ht="15.75" customHeight="1">
      <c r="B94" s="24">
        <v>58.0</v>
      </c>
      <c r="C94" s="26">
        <f t="shared" si="3"/>
        <v>0.3694444444</v>
      </c>
      <c r="D94" s="27">
        <v>5.4821</v>
      </c>
      <c r="E94" s="27">
        <v>32.3456</v>
      </c>
      <c r="F94" s="27">
        <v>16.8372</v>
      </c>
      <c r="G94" s="26">
        <f t="shared" ref="G94:I94" si="119">D94/D$96</f>
        <v>0.9962020716</v>
      </c>
      <c r="H94" s="26">
        <f t="shared" si="119"/>
        <v>0.9935006696</v>
      </c>
      <c r="I94" s="26">
        <f t="shared" si="119"/>
        <v>0.9945949778</v>
      </c>
      <c r="J94" s="29">
        <f t="shared" ref="J94:L94" si="120">D94-D93</f>
        <v>-0.0121</v>
      </c>
      <c r="K94" s="29">
        <f t="shared" si="120"/>
        <v>-0.0312</v>
      </c>
      <c r="L94" s="29">
        <f t="shared" si="120"/>
        <v>0.0298</v>
      </c>
      <c r="M94" s="30">
        <f t="shared" si="6"/>
        <v>0.03017460704</v>
      </c>
      <c r="N94" s="30">
        <f t="shared" si="7"/>
        <v>0.02738238326</v>
      </c>
      <c r="O94" s="30">
        <f t="shared" si="8"/>
        <v>0.02855027392</v>
      </c>
      <c r="P94" s="32">
        <v>0.4799</v>
      </c>
      <c r="Q94" s="32">
        <v>0.6425</v>
      </c>
      <c r="R94" s="32">
        <v>0.5511</v>
      </c>
    </row>
    <row r="95" ht="15.75" customHeight="1">
      <c r="B95" s="24">
        <v>59.0</v>
      </c>
      <c r="C95" s="26">
        <f t="shared" si="3"/>
        <v>0.3722222222</v>
      </c>
      <c r="D95" s="27">
        <v>5.4716</v>
      </c>
      <c r="E95" s="27">
        <v>32.4973</v>
      </c>
      <c r="F95" s="27">
        <v>16.7832</v>
      </c>
      <c r="G95" s="26">
        <f t="shared" ref="G95:I95" si="121">D95/D$96</f>
        <v>0.9942940214</v>
      </c>
      <c r="H95" s="26">
        <f t="shared" si="121"/>
        <v>0.9981601612</v>
      </c>
      <c r="I95" s="26">
        <f t="shared" si="121"/>
        <v>0.9914051286</v>
      </c>
      <c r="J95" s="29">
        <f t="shared" ref="J95:L95" si="122">D95-D94</f>
        <v>-0.0105</v>
      </c>
      <c r="K95" s="29">
        <f t="shared" si="122"/>
        <v>0.1517</v>
      </c>
      <c r="L95" s="29">
        <f t="shared" si="122"/>
        <v>-0.054</v>
      </c>
      <c r="M95" s="30">
        <f t="shared" si="6"/>
        <v>0.01135469711</v>
      </c>
      <c r="N95" s="30">
        <f t="shared" si="7"/>
        <v>0.01510461702</v>
      </c>
      <c r="O95" s="30">
        <f t="shared" si="8"/>
        <v>0.008444906264</v>
      </c>
      <c r="P95" s="32">
        <v>0.4814</v>
      </c>
      <c r="Q95" s="32">
        <v>0.6455</v>
      </c>
      <c r="R95" s="32">
        <v>0.5518</v>
      </c>
    </row>
    <row r="96" ht="15.75" customHeight="1">
      <c r="B96" s="24">
        <v>60.0</v>
      </c>
      <c r="C96" s="26">
        <f t="shared" si="3"/>
        <v>0.375</v>
      </c>
      <c r="D96" s="27">
        <v>5.503</v>
      </c>
      <c r="E96" s="27">
        <v>32.5572</v>
      </c>
      <c r="F96" s="27">
        <v>16.9287</v>
      </c>
      <c r="G96" s="26">
        <f t="shared" ref="G96:I96" si="123">D96/D$96</f>
        <v>1</v>
      </c>
      <c r="H96" s="26">
        <f t="shared" si="123"/>
        <v>1</v>
      </c>
      <c r="I96" s="26">
        <f t="shared" si="123"/>
        <v>1</v>
      </c>
      <c r="J96" s="29">
        <f t="shared" ref="J96:L96" si="124">D96-D95</f>
        <v>0.0314</v>
      </c>
      <c r="K96" s="29">
        <f t="shared" si="124"/>
        <v>0.0599</v>
      </c>
      <c r="L96" s="29">
        <f t="shared" si="124"/>
        <v>0.1455</v>
      </c>
      <c r="M96" s="30">
        <f t="shared" si="6"/>
        <v>0</v>
      </c>
      <c r="N96" s="30">
        <f t="shared" si="7"/>
        <v>0</v>
      </c>
      <c r="O96" s="30">
        <f t="shared" si="8"/>
        <v>0</v>
      </c>
      <c r="P96" s="32">
        <v>0.484</v>
      </c>
      <c r="Q96" s="32">
        <v>0.6475</v>
      </c>
      <c r="R96" s="32">
        <v>0.5549</v>
      </c>
    </row>
    <row r="97" ht="15.75" customHeight="1">
      <c r="B97" s="14" t="s">
        <v>276</v>
      </c>
      <c r="M97" s="60">
        <f t="shared" ref="M97:O97" si="125">INDEX($B$37:$B$96,MATCH(MAX(M37:M96),M37:M96,0))</f>
        <v>21</v>
      </c>
      <c r="N97" s="60">
        <f t="shared" si="125"/>
        <v>15</v>
      </c>
      <c r="O97" s="60">
        <f t="shared" si="125"/>
        <v>20</v>
      </c>
    </row>
    <row r="98" ht="15.75" customHeight="1">
      <c r="B98" s="14" t="s">
        <v>279</v>
      </c>
      <c r="C98" s="24">
        <v>21.0</v>
      </c>
      <c r="E98" s="14" t="s">
        <v>280</v>
      </c>
      <c r="G98" s="37">
        <f t="shared" ref="G98:I98" si="126">INDEX(G37:G96,MATCH($C$98,$B$37:$B$96,0))</f>
        <v>0.7150463384</v>
      </c>
      <c r="H98" s="37">
        <f t="shared" si="126"/>
        <v>0.7629525881</v>
      </c>
      <c r="I98" s="37">
        <f t="shared" si="126"/>
        <v>0.7530997655</v>
      </c>
    </row>
    <row r="99" ht="15.75" customHeight="1">
      <c r="B99" s="14" t="s">
        <v>283</v>
      </c>
      <c r="G99" s="26">
        <f t="shared" ref="G99:I99" si="127">INDEX(D37:D96,MATCH($C$98,$B$37:$B$96,0))/INDEX(D37:D96,MATCH(30,$B$37:$B$96,0))</f>
        <v>0.8797200921</v>
      </c>
      <c r="H99" s="26">
        <f t="shared" si="127"/>
        <v>0.9050056655</v>
      </c>
      <c r="I99" s="26">
        <f t="shared" si="127"/>
        <v>0.897595663</v>
      </c>
    </row>
    <row r="100" ht="15.75" customHeight="1">
      <c r="B100" s="14" t="s">
        <v>285</v>
      </c>
      <c r="C100" s="26">
        <f t="array" ref="C100">INDEX(C37:C96,MATCH($C$98,$B$37:$B$96,0))</f>
        <v>0.2666666667</v>
      </c>
      <c r="P100" s="26">
        <f t="shared" ref="P100:R100" si="128">INDEX(P37:P96,MATCH($C$98,$B$37:$B$96,0))</f>
        <v>0.3361</v>
      </c>
      <c r="Q100" s="26">
        <f t="shared" si="128"/>
        <v>0.4965</v>
      </c>
      <c r="R100" s="26">
        <f t="shared" si="128"/>
        <v>0.4102</v>
      </c>
    </row>
    <row r="101" ht="15.75" customHeight="1">
      <c r="B101" s="14" t="s">
        <v>288</v>
      </c>
      <c r="P101" s="53" t="str">
        <f t="shared" ref="P101:R101" si="129">IF(P100&gt;=$C$100,"Yes","No")</f>
        <v>Yes</v>
      </c>
      <c r="Q101" s="53" t="str">
        <f t="shared" si="129"/>
        <v>Yes</v>
      </c>
      <c r="R101" s="53" t="str">
        <f t="shared" si="129"/>
        <v>Yes</v>
      </c>
    </row>
    <row r="102" ht="15.75" customHeight="1"/>
    <row r="103" ht="21.75" customHeight="1">
      <c r="B103" s="3" t="s">
        <v>290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ht="15.75" customHeight="1">
      <c r="B104" s="5" t="s">
        <v>292</v>
      </c>
    </row>
    <row r="105" ht="15.75" customHeight="1"/>
    <row r="106" ht="30.0" customHeight="1">
      <c r="B106" s="6" t="s">
        <v>293</v>
      </c>
      <c r="C106" s="6" t="s">
        <v>294</v>
      </c>
      <c r="D106" s="6" t="s">
        <v>295</v>
      </c>
      <c r="E106" s="6" t="s">
        <v>296</v>
      </c>
      <c r="F106" s="6" t="s">
        <v>297</v>
      </c>
      <c r="G106" s="6" t="s">
        <v>298</v>
      </c>
      <c r="H106" s="6" t="s">
        <v>299</v>
      </c>
      <c r="I106" s="6" t="s">
        <v>297</v>
      </c>
      <c r="J106" s="6" t="s">
        <v>298</v>
      </c>
      <c r="K106" s="6" t="s">
        <v>300</v>
      </c>
      <c r="L106" s="6" t="s">
        <v>297</v>
      </c>
      <c r="M106" s="6" t="s">
        <v>298</v>
      </c>
      <c r="N106" s="6" t="s">
        <v>301</v>
      </c>
    </row>
    <row r="107" ht="15.75" customHeight="1">
      <c r="B107" s="10" t="s">
        <v>302</v>
      </c>
      <c r="C107" s="49">
        <v>1.0</v>
      </c>
      <c r="D107" s="49">
        <v>7.0</v>
      </c>
      <c r="E107" s="27">
        <v>0.259</v>
      </c>
      <c r="F107" s="27">
        <v>0.1578</v>
      </c>
      <c r="G107" s="27">
        <v>0.3554</v>
      </c>
      <c r="H107" s="27">
        <v>2.3627</v>
      </c>
      <c r="I107" s="27">
        <v>1.759</v>
      </c>
      <c r="J107" s="27">
        <v>2.9823</v>
      </c>
      <c r="K107" s="27">
        <v>0.9932</v>
      </c>
      <c r="L107" s="27">
        <v>0.6699</v>
      </c>
      <c r="M107" s="27">
        <v>1.3359</v>
      </c>
      <c r="N107" s="29">
        <f t="shared" ref="N107:N112" si="130">(INDEX($D$37:$D$96,MATCH(D107,$B$37:$B$96,0))-INDEX($D$37:$D$96,MATCH(C107,$B$37:$B$96,0)))/(D107-C107)</f>
        <v>0.2590333333</v>
      </c>
    </row>
    <row r="108" ht="15.75" customHeight="1">
      <c r="B108" s="10" t="s">
        <v>309</v>
      </c>
      <c r="C108" s="49">
        <v>7.0</v>
      </c>
      <c r="D108" s="49">
        <v>14.0</v>
      </c>
      <c r="E108" s="27">
        <v>0.2178</v>
      </c>
      <c r="F108" s="27">
        <v>0.1558</v>
      </c>
      <c r="G108" s="27">
        <v>0.2753</v>
      </c>
      <c r="H108" s="27">
        <v>0.9629</v>
      </c>
      <c r="I108" s="27">
        <v>0.6342</v>
      </c>
      <c r="J108" s="27">
        <v>1.3794</v>
      </c>
      <c r="K108" s="27">
        <v>0.6841</v>
      </c>
      <c r="L108" s="27">
        <v>0.5084</v>
      </c>
      <c r="M108" s="27">
        <v>0.8725</v>
      </c>
      <c r="N108" s="29">
        <f t="shared" si="130"/>
        <v>0.2178428571</v>
      </c>
    </row>
    <row r="109" ht="15.75" customHeight="1">
      <c r="B109" s="10" t="s">
        <v>320</v>
      </c>
      <c r="C109" s="49">
        <v>14.0</v>
      </c>
      <c r="D109" s="49">
        <v>21.0</v>
      </c>
      <c r="E109" s="27">
        <v>0.1379</v>
      </c>
      <c r="F109" s="27">
        <v>0.0962</v>
      </c>
      <c r="G109" s="27">
        <v>0.1793</v>
      </c>
      <c r="H109" s="27">
        <v>0.5486</v>
      </c>
      <c r="I109" s="27">
        <v>0.3078</v>
      </c>
      <c r="J109" s="27">
        <v>0.8576</v>
      </c>
      <c r="K109" s="27">
        <v>0.3116</v>
      </c>
      <c r="L109" s="27">
        <v>0.2038</v>
      </c>
      <c r="M109" s="27">
        <v>0.4287</v>
      </c>
      <c r="N109" s="29">
        <f t="shared" si="130"/>
        <v>0.1379285714</v>
      </c>
    </row>
    <row r="110" ht="15.75" customHeight="1">
      <c r="B110" s="10" t="s">
        <v>321</v>
      </c>
      <c r="C110" s="49">
        <v>21.0</v>
      </c>
      <c r="D110" s="49">
        <v>30.0</v>
      </c>
      <c r="E110" s="27">
        <v>0.0598</v>
      </c>
      <c r="F110" s="27">
        <v>0.0317</v>
      </c>
      <c r="G110" s="27">
        <v>0.0858</v>
      </c>
      <c r="H110" s="27">
        <v>0.2897</v>
      </c>
      <c r="I110" s="27">
        <v>0.132</v>
      </c>
      <c r="J110" s="27">
        <v>0.4993</v>
      </c>
      <c r="K110" s="27">
        <v>0.1616</v>
      </c>
      <c r="L110" s="27">
        <v>0.09</v>
      </c>
      <c r="M110" s="27">
        <v>0.2344</v>
      </c>
      <c r="N110" s="29">
        <f t="shared" si="130"/>
        <v>0.05977777778</v>
      </c>
    </row>
    <row r="111" ht="15.75" customHeight="1">
      <c r="B111" s="10" t="s">
        <v>322</v>
      </c>
      <c r="C111" s="49">
        <v>30.0</v>
      </c>
      <c r="D111" s="49">
        <v>45.0</v>
      </c>
      <c r="E111" s="27">
        <v>0.0473</v>
      </c>
      <c r="F111" s="27">
        <v>0.0228</v>
      </c>
      <c r="G111" s="27">
        <v>0.0731</v>
      </c>
      <c r="H111" s="27">
        <v>0.2167</v>
      </c>
      <c r="I111" s="27">
        <v>-0.0125</v>
      </c>
      <c r="J111" s="27">
        <v>0.4369</v>
      </c>
      <c r="K111" s="27">
        <v>0.1256</v>
      </c>
      <c r="L111" s="27">
        <v>0.0661</v>
      </c>
      <c r="M111" s="27">
        <v>0.1901</v>
      </c>
      <c r="N111" s="29">
        <f t="shared" si="130"/>
        <v>0.04728666667</v>
      </c>
    </row>
    <row r="112" ht="15.75" customHeight="1">
      <c r="B112" s="10" t="s">
        <v>323</v>
      </c>
      <c r="C112" s="49">
        <v>45.0</v>
      </c>
      <c r="D112" s="49">
        <v>60.0</v>
      </c>
      <c r="E112" s="27">
        <v>0.0214</v>
      </c>
      <c r="F112" s="27">
        <v>0.0064</v>
      </c>
      <c r="G112" s="27">
        <v>0.0362</v>
      </c>
      <c r="H112" s="27">
        <v>0.124</v>
      </c>
      <c r="I112" s="27">
        <v>0.0294</v>
      </c>
      <c r="J112" s="27">
        <v>0.2066</v>
      </c>
      <c r="K112" s="27">
        <v>0.0561</v>
      </c>
      <c r="L112" s="27">
        <v>0.0178</v>
      </c>
      <c r="M112" s="27">
        <v>0.1003</v>
      </c>
      <c r="N112" s="29">
        <f t="shared" si="130"/>
        <v>0.02138666667</v>
      </c>
    </row>
    <row r="113" ht="15.75" customHeight="1">
      <c r="B113" s="14" t="s">
        <v>324</v>
      </c>
      <c r="E113" s="62">
        <f>E107/E110</f>
        <v>4.331103679</v>
      </c>
      <c r="H113" s="62">
        <f>H107/H110</f>
        <v>8.155678288</v>
      </c>
      <c r="K113" s="62">
        <f>K107/K110</f>
        <v>6.146039604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21.75" customHeight="1">
      <c r="B121" s="3" t="s">
        <v>326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ht="15.75" customHeight="1">
      <c r="B122" s="5" t="s">
        <v>327</v>
      </c>
    </row>
    <row r="123" ht="15.75" customHeight="1"/>
    <row r="124" ht="15.75" customHeight="1">
      <c r="B124" s="39" t="s">
        <v>328</v>
      </c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</row>
    <row r="125" ht="33.75" customHeight="1">
      <c r="B125" s="6" t="s">
        <v>161</v>
      </c>
      <c r="C125" s="6" t="s">
        <v>329</v>
      </c>
      <c r="D125" s="6" t="s">
        <v>330</v>
      </c>
      <c r="E125" s="6" t="s">
        <v>331</v>
      </c>
      <c r="F125" s="6" t="s">
        <v>332</v>
      </c>
      <c r="G125" s="6" t="s">
        <v>333</v>
      </c>
      <c r="H125" s="6" t="s">
        <v>334</v>
      </c>
      <c r="I125" s="6" t="s">
        <v>335</v>
      </c>
      <c r="J125" s="6" t="s">
        <v>336</v>
      </c>
      <c r="K125" s="6" t="s">
        <v>337</v>
      </c>
    </row>
    <row r="126" ht="15.75" customHeight="1">
      <c r="B126" s="10" t="s">
        <v>167</v>
      </c>
      <c r="C126" s="49">
        <v>940.0</v>
      </c>
      <c r="D126" s="65">
        <v>18.0</v>
      </c>
      <c r="E126" s="65">
        <v>17.0</v>
      </c>
      <c r="F126" s="27">
        <v>0.7922</v>
      </c>
      <c r="G126" s="27">
        <v>1.6035</v>
      </c>
      <c r="H126" s="27">
        <v>1.9801</v>
      </c>
      <c r="I126" s="27">
        <v>1.8443</v>
      </c>
      <c r="J126" s="27">
        <v>2.1674</v>
      </c>
      <c r="K126" s="26">
        <f t="shared" ref="K126:K143" si="131">IF(J126&gt;0,H126/J126,"–")</f>
        <v>0.913583095</v>
      </c>
    </row>
    <row r="127" ht="15.75" customHeight="1">
      <c r="B127" s="10" t="s">
        <v>170</v>
      </c>
      <c r="C127" s="49">
        <v>665.0</v>
      </c>
      <c r="D127" s="65">
        <v>26.0</v>
      </c>
      <c r="E127" s="65">
        <v>23.0</v>
      </c>
      <c r="F127" s="27">
        <v>0.0596</v>
      </c>
      <c r="G127" s="27">
        <v>2.2667</v>
      </c>
      <c r="H127" s="27">
        <v>2.7363</v>
      </c>
      <c r="I127" s="27">
        <v>3.4647</v>
      </c>
      <c r="J127" s="27">
        <v>3.8987</v>
      </c>
      <c r="K127" s="26">
        <f t="shared" si="131"/>
        <v>0.7018493344</v>
      </c>
    </row>
    <row r="128" ht="15.75" customHeight="1">
      <c r="B128" s="10" t="s">
        <v>169</v>
      </c>
      <c r="C128" s="49">
        <v>2068.0</v>
      </c>
      <c r="D128" s="65">
        <v>39.0</v>
      </c>
      <c r="E128" s="65">
        <v>34.0</v>
      </c>
      <c r="F128" s="27">
        <v>1.6493</v>
      </c>
      <c r="G128" s="27">
        <v>2.318</v>
      </c>
      <c r="H128" s="27">
        <v>3.5516</v>
      </c>
      <c r="I128" s="27">
        <v>4.7456</v>
      </c>
      <c r="J128" s="27">
        <v>6.5063</v>
      </c>
      <c r="K128" s="26">
        <f t="shared" si="131"/>
        <v>0.5458709251</v>
      </c>
    </row>
    <row r="129" ht="15.75" customHeight="1">
      <c r="B129" s="10" t="s">
        <v>174</v>
      </c>
      <c r="C129" s="49">
        <v>1424.0</v>
      </c>
      <c r="D129" s="65">
        <v>21.0</v>
      </c>
      <c r="E129" s="65">
        <v>24.0</v>
      </c>
      <c r="F129" s="27">
        <v>3.2416</v>
      </c>
      <c r="G129" s="27">
        <v>5.3818</v>
      </c>
      <c r="H129" s="27">
        <v>7.0321</v>
      </c>
      <c r="I129" s="27">
        <v>7.9087</v>
      </c>
      <c r="J129" s="27">
        <v>9.2348</v>
      </c>
      <c r="K129" s="26">
        <f t="shared" si="131"/>
        <v>0.7614783211</v>
      </c>
    </row>
    <row r="130" ht="15.75" customHeight="1">
      <c r="B130" s="10" t="s">
        <v>182</v>
      </c>
      <c r="C130" s="49">
        <v>523.0</v>
      </c>
      <c r="D130" s="65">
        <v>17.0</v>
      </c>
      <c r="E130" s="65">
        <v>49.0</v>
      </c>
      <c r="F130" s="27">
        <v>-0.0771</v>
      </c>
      <c r="G130" s="27">
        <v>1.972</v>
      </c>
      <c r="H130" s="27">
        <v>3.0064</v>
      </c>
      <c r="I130" s="27">
        <v>3.3518</v>
      </c>
      <c r="J130" s="27">
        <v>5.8241</v>
      </c>
      <c r="K130" s="26">
        <f t="shared" si="131"/>
        <v>0.5161999279</v>
      </c>
    </row>
    <row r="131" ht="15.75" customHeight="1">
      <c r="B131" s="10" t="s">
        <v>177</v>
      </c>
      <c r="C131" s="49">
        <v>611.0</v>
      </c>
      <c r="D131" s="65">
        <v>22.0</v>
      </c>
      <c r="E131" s="65">
        <v>36.0</v>
      </c>
      <c r="F131" s="27">
        <v>0.0982</v>
      </c>
      <c r="G131" s="27">
        <v>2.2564</v>
      </c>
      <c r="H131" s="27">
        <v>3.0169</v>
      </c>
      <c r="I131" s="27">
        <v>3.4053</v>
      </c>
      <c r="J131" s="27">
        <v>4.976</v>
      </c>
      <c r="K131" s="26">
        <f t="shared" si="131"/>
        <v>0.6062901929</v>
      </c>
    </row>
    <row r="132" ht="15.75" customHeight="1">
      <c r="B132" s="10" t="s">
        <v>185</v>
      </c>
      <c r="C132" s="49">
        <v>309.0</v>
      </c>
      <c r="D132" s="65">
        <v>19.0</v>
      </c>
      <c r="E132" s="65">
        <v>28.0</v>
      </c>
      <c r="F132" s="27">
        <v>1.0583</v>
      </c>
      <c r="G132" s="27">
        <v>1.4951</v>
      </c>
      <c r="H132" s="27">
        <v>4.2665</v>
      </c>
      <c r="I132" s="27">
        <v>4.7681</v>
      </c>
      <c r="J132" s="27">
        <v>5.5307</v>
      </c>
      <c r="K132" s="26">
        <f t="shared" si="131"/>
        <v>0.7714213391</v>
      </c>
    </row>
    <row r="133" ht="15.75" customHeight="1">
      <c r="B133" s="10" t="s">
        <v>176</v>
      </c>
      <c r="C133" s="49">
        <v>1342.0</v>
      </c>
      <c r="D133" s="65">
        <v>21.0</v>
      </c>
      <c r="E133" s="65">
        <v>10.0</v>
      </c>
      <c r="F133" s="27">
        <v>3.694</v>
      </c>
      <c r="G133" s="27">
        <v>5.0919</v>
      </c>
      <c r="H133" s="27">
        <v>5.6637</v>
      </c>
      <c r="I133" s="27">
        <v>5.1361</v>
      </c>
      <c r="J133" s="27">
        <v>5.0735</v>
      </c>
      <c r="K133" s="26">
        <f t="shared" si="131"/>
        <v>1.11632995</v>
      </c>
    </row>
    <row r="134" ht="15.75" customHeight="1">
      <c r="B134" s="10" t="s">
        <v>179</v>
      </c>
      <c r="C134" s="49">
        <v>664.0</v>
      </c>
      <c r="D134" s="65">
        <v>22.0</v>
      </c>
      <c r="E134" s="65">
        <v>24.0</v>
      </c>
      <c r="F134" s="27">
        <v>1.6918</v>
      </c>
      <c r="G134" s="27">
        <v>5.8665</v>
      </c>
      <c r="H134" s="27">
        <v>7.63</v>
      </c>
      <c r="I134" s="27">
        <v>9.4859</v>
      </c>
      <c r="J134" s="27">
        <v>10.2927</v>
      </c>
      <c r="K134" s="26">
        <f t="shared" si="131"/>
        <v>0.7413020879</v>
      </c>
    </row>
    <row r="135" ht="15.75" customHeight="1">
      <c r="B135" s="10" t="s">
        <v>166</v>
      </c>
      <c r="C135" s="49">
        <v>2036.0</v>
      </c>
      <c r="D135" s="65">
        <v>19.0</v>
      </c>
      <c r="E135" s="65">
        <v>25.0</v>
      </c>
      <c r="F135" s="27">
        <v>2.9343</v>
      </c>
      <c r="G135" s="27">
        <v>7.2903</v>
      </c>
      <c r="H135" s="27">
        <v>9.3975</v>
      </c>
      <c r="I135" s="27">
        <v>10.7472</v>
      </c>
      <c r="J135" s="27">
        <v>12.3576</v>
      </c>
      <c r="K135" s="26">
        <f t="shared" si="131"/>
        <v>0.7604631967</v>
      </c>
    </row>
    <row r="136" ht="15.75" customHeight="1">
      <c r="B136" s="10" t="s">
        <v>175</v>
      </c>
      <c r="C136" s="49">
        <v>1353.0</v>
      </c>
      <c r="D136" s="65">
        <v>24.0</v>
      </c>
      <c r="E136" s="65">
        <v>22.0</v>
      </c>
      <c r="F136" s="27">
        <v>-0.6856</v>
      </c>
      <c r="G136" s="27">
        <v>-0.0872</v>
      </c>
      <c r="H136" s="27">
        <v>0.799</v>
      </c>
      <c r="I136" s="27">
        <v>0.4651</v>
      </c>
      <c r="J136" s="27">
        <v>1.0091</v>
      </c>
      <c r="K136" s="26">
        <f t="shared" si="131"/>
        <v>0.7917946685</v>
      </c>
    </row>
    <row r="137" ht="15.75" customHeight="1">
      <c r="B137" s="10" t="s">
        <v>181</v>
      </c>
      <c r="C137" s="49">
        <v>527.0</v>
      </c>
      <c r="D137" s="65">
        <v>18.0</v>
      </c>
      <c r="E137" s="65">
        <v>3.0</v>
      </c>
      <c r="F137" s="27">
        <v>1.2929</v>
      </c>
      <c r="G137" s="27">
        <v>1.728</v>
      </c>
      <c r="H137" s="27">
        <v>1.5705</v>
      </c>
      <c r="I137" s="27">
        <v>0.9247</v>
      </c>
      <c r="J137" s="27">
        <v>0.0304</v>
      </c>
      <c r="K137" s="26">
        <f t="shared" si="131"/>
        <v>51.66118421</v>
      </c>
    </row>
    <row r="138" ht="15.75" customHeight="1">
      <c r="B138" s="10" t="s">
        <v>184</v>
      </c>
      <c r="C138" s="49">
        <v>428.0</v>
      </c>
      <c r="D138" s="65">
        <v>1.0</v>
      </c>
      <c r="E138" s="65">
        <v>43.0</v>
      </c>
      <c r="F138" s="27">
        <v>-0.6301</v>
      </c>
      <c r="G138" s="27">
        <v>-0.1861</v>
      </c>
      <c r="H138" s="27">
        <v>-0.5086</v>
      </c>
      <c r="I138" s="27">
        <v>-0.1168</v>
      </c>
      <c r="J138" s="27">
        <v>1.588</v>
      </c>
      <c r="K138" s="26">
        <f t="shared" si="131"/>
        <v>-0.3202770781</v>
      </c>
    </row>
    <row r="139" ht="15.75" customHeight="1">
      <c r="B139" s="10" t="s">
        <v>172</v>
      </c>
      <c r="C139" s="49">
        <v>1497.0</v>
      </c>
      <c r="D139" s="65">
        <v>28.0</v>
      </c>
      <c r="E139" s="65">
        <v>20.0</v>
      </c>
      <c r="F139" s="27">
        <v>0.0323</v>
      </c>
      <c r="G139" s="27">
        <v>0.5251</v>
      </c>
      <c r="H139" s="27">
        <v>1.0249</v>
      </c>
      <c r="I139" s="27">
        <v>1.1686</v>
      </c>
      <c r="J139" s="27">
        <v>1.191</v>
      </c>
      <c r="K139" s="26">
        <f t="shared" si="131"/>
        <v>0.8605373636</v>
      </c>
    </row>
    <row r="140" ht="15.75" customHeight="1">
      <c r="B140" s="10" t="s">
        <v>183</v>
      </c>
      <c r="C140" s="49">
        <v>429.0</v>
      </c>
      <c r="D140" s="65">
        <v>26.0</v>
      </c>
      <c r="E140" s="65">
        <v>26.0</v>
      </c>
      <c r="F140" s="27">
        <v>0.2168</v>
      </c>
      <c r="G140" s="27">
        <v>1.4071</v>
      </c>
      <c r="H140" s="27">
        <v>2.3388</v>
      </c>
      <c r="I140" s="27">
        <v>3.9969</v>
      </c>
      <c r="J140" s="27">
        <v>4.7071</v>
      </c>
      <c r="K140" s="26">
        <f t="shared" si="131"/>
        <v>0.4968664358</v>
      </c>
    </row>
    <row r="141" ht="15.75" customHeight="1">
      <c r="B141" s="10" t="s">
        <v>178</v>
      </c>
      <c r="C141" s="49">
        <v>759.0</v>
      </c>
      <c r="D141" s="65">
        <v>2.0</v>
      </c>
      <c r="E141" s="65">
        <v>35.0</v>
      </c>
      <c r="F141" s="27">
        <v>-1.0918</v>
      </c>
      <c r="G141" s="27">
        <v>-1.61</v>
      </c>
      <c r="H141" s="27">
        <v>-0.6561</v>
      </c>
      <c r="I141" s="27">
        <v>-0.5182</v>
      </c>
      <c r="J141" s="27">
        <v>0.6904</v>
      </c>
      <c r="K141" s="26">
        <f t="shared" si="131"/>
        <v>-0.9503186559</v>
      </c>
    </row>
    <row r="142" ht="15.75" customHeight="1">
      <c r="B142" s="10" t="s">
        <v>180</v>
      </c>
      <c r="C142" s="49">
        <v>616.0</v>
      </c>
      <c r="D142" s="65">
        <v>4.0</v>
      </c>
      <c r="E142" s="65">
        <v>4.0</v>
      </c>
      <c r="F142" s="27">
        <v>-0.5866</v>
      </c>
      <c r="G142" s="27">
        <v>-0.3647</v>
      </c>
      <c r="H142" s="27">
        <v>-1.1082</v>
      </c>
      <c r="I142" s="27">
        <v>-1.0628</v>
      </c>
      <c r="J142" s="27">
        <v>-0.9015</v>
      </c>
      <c r="K142" s="26" t="str">
        <f t="shared" si="131"/>
        <v>–</v>
      </c>
    </row>
    <row r="143" ht="15.75" customHeight="1">
      <c r="B143" s="10" t="s">
        <v>171</v>
      </c>
      <c r="C143" s="49">
        <v>1553.0</v>
      </c>
      <c r="D143" s="65">
        <v>16.0</v>
      </c>
      <c r="E143" s="65">
        <v>39.0</v>
      </c>
      <c r="F143" s="27">
        <v>5.9824</v>
      </c>
      <c r="G143" s="27">
        <v>9.1786</v>
      </c>
      <c r="H143" s="27">
        <v>10.982</v>
      </c>
      <c r="I143" s="27">
        <v>12.3642</v>
      </c>
      <c r="J143" s="27">
        <v>17.9399</v>
      </c>
      <c r="K143" s="26">
        <f t="shared" si="131"/>
        <v>0.6121550287</v>
      </c>
    </row>
    <row r="144" ht="15.75" customHeight="1">
      <c r="B144" s="14" t="s">
        <v>342</v>
      </c>
      <c r="D144" s="66">
        <f>SUMPRODUCT(C126:C143,D126:D143)/SUM(C126:C143)</f>
        <v>21.34411632</v>
      </c>
    </row>
    <row r="145" ht="15.75" customHeight="1"/>
    <row r="146" ht="15.75" customHeight="1">
      <c r="B146" s="39" t="s">
        <v>343</v>
      </c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</row>
    <row r="147" ht="21.75" customHeight="1">
      <c r="B147" s="6" t="s">
        <v>150</v>
      </c>
      <c r="C147" s="6" t="s">
        <v>329</v>
      </c>
      <c r="D147" s="6" t="s">
        <v>330</v>
      </c>
      <c r="E147" s="6" t="s">
        <v>344</v>
      </c>
    </row>
    <row r="148" ht="15.75" customHeight="1">
      <c r="B148" s="10" t="s">
        <v>154</v>
      </c>
      <c r="C148" s="49">
        <v>8549.0</v>
      </c>
      <c r="D148" s="65">
        <v>21.0</v>
      </c>
      <c r="E148" s="65">
        <v>29.0</v>
      </c>
    </row>
    <row r="149" ht="15.75" customHeight="1">
      <c r="B149" s="10" t="s">
        <v>156</v>
      </c>
      <c r="C149" s="49">
        <v>1406.0</v>
      </c>
      <c r="D149" s="65">
        <v>17.0</v>
      </c>
      <c r="E149" s="65">
        <v>51.0</v>
      </c>
    </row>
    <row r="150" ht="15.75" customHeight="1">
      <c r="B150" s="10" t="s">
        <v>157</v>
      </c>
      <c r="C150" s="49">
        <v>11100.0</v>
      </c>
      <c r="D150" s="65">
        <v>32.0</v>
      </c>
      <c r="E150" s="65">
        <v>27.0</v>
      </c>
    </row>
    <row r="151" ht="15.75" customHeight="1">
      <c r="B151" s="14" t="s">
        <v>342</v>
      </c>
      <c r="D151" s="66">
        <f>SUMPRODUCT(C148:C150,D148:D150)/SUM(C148:C150)</f>
        <v>26.53198765</v>
      </c>
    </row>
    <row r="152" ht="15.75" customHeight="1"/>
    <row r="153" ht="15.75" customHeight="1">
      <c r="B153" s="39" t="s">
        <v>345</v>
      </c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</row>
    <row r="154" ht="21.75" customHeight="1">
      <c r="B154" s="6" t="s">
        <v>190</v>
      </c>
      <c r="C154" s="6" t="s">
        <v>191</v>
      </c>
      <c r="D154" s="6" t="s">
        <v>329</v>
      </c>
      <c r="E154" s="6" t="s">
        <v>330</v>
      </c>
      <c r="F154" s="6" t="s">
        <v>192</v>
      </c>
    </row>
    <row r="155" ht="15.75" customHeight="1">
      <c r="B155" s="10" t="s">
        <v>193</v>
      </c>
      <c r="C155" s="49">
        <v>1.0</v>
      </c>
      <c r="D155" s="49">
        <v>21055.0</v>
      </c>
      <c r="E155" s="66">
        <f>$M$97</f>
        <v>21</v>
      </c>
      <c r="F155" s="5" t="s">
        <v>346</v>
      </c>
    </row>
    <row r="156" ht="15.75" customHeight="1">
      <c r="B156" s="10" t="s">
        <v>347</v>
      </c>
      <c r="C156" s="49">
        <v>3.0</v>
      </c>
      <c r="D156" s="49">
        <v>21055.0</v>
      </c>
      <c r="E156" s="66">
        <f>$D$151</f>
        <v>26.53198765</v>
      </c>
      <c r="F156" s="5" t="s">
        <v>348</v>
      </c>
    </row>
    <row r="157" ht="15.75" customHeight="1">
      <c r="B157" s="10" t="s">
        <v>349</v>
      </c>
      <c r="C157" s="49">
        <v>18.0</v>
      </c>
      <c r="D157" s="49">
        <v>17744.0</v>
      </c>
      <c r="E157" s="66">
        <f>$D$144</f>
        <v>21.34411632</v>
      </c>
      <c r="F157" s="5" t="s">
        <v>350</v>
      </c>
    </row>
    <row r="158" ht="15.75" customHeight="1">
      <c r="B158" s="10" t="s">
        <v>351</v>
      </c>
      <c r="C158" s="49">
        <v>28.0</v>
      </c>
      <c r="D158" s="49">
        <v>14730.0</v>
      </c>
      <c r="E158" s="67">
        <v>16.3301</v>
      </c>
      <c r="F158" s="5" t="s">
        <v>352</v>
      </c>
    </row>
    <row r="159" ht="15.75" customHeight="1">
      <c r="B159" s="10" t="s">
        <v>353</v>
      </c>
      <c r="C159" s="49">
        <v>75.0</v>
      </c>
      <c r="D159" s="49">
        <v>3154.0</v>
      </c>
      <c r="E159" s="66">
        <f>SUMPRODUCT(C343:C417,D343:D417)/SUM(C343:C417)</f>
        <v>17.3170577</v>
      </c>
      <c r="F159" s="5" t="s">
        <v>354</v>
      </c>
    </row>
    <row r="160" ht="15.75" customHeight="1">
      <c r="B160" s="14" t="s">
        <v>355</v>
      </c>
      <c r="E160" s="68">
        <f>ROUND(AVERAGE(E155:E159),0)</f>
        <v>21</v>
      </c>
      <c r="F160" s="66">
        <f>AVERAGE(E155:E159)</f>
        <v>20.50465234</v>
      </c>
      <c r="G160" s="5" t="s">
        <v>202</v>
      </c>
    </row>
    <row r="161" ht="15.75" customHeight="1"/>
    <row r="162" ht="15.75" customHeight="1"/>
    <row r="163" ht="21.75" customHeight="1">
      <c r="B163" s="3" t="s">
        <v>356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ht="15.75" customHeight="1">
      <c r="B164" s="5" t="s">
        <v>357</v>
      </c>
    </row>
    <row r="165" ht="15.75" customHeight="1"/>
    <row r="166" ht="33.75" customHeight="1">
      <c r="B166" s="6" t="s">
        <v>209</v>
      </c>
      <c r="C166" s="6" t="s">
        <v>210</v>
      </c>
      <c r="D166" s="6" t="s">
        <v>161</v>
      </c>
      <c r="E166" s="6" t="s">
        <v>329</v>
      </c>
      <c r="F166" s="6" t="s">
        <v>332</v>
      </c>
      <c r="G166" s="6" t="s">
        <v>333</v>
      </c>
      <c r="H166" s="6" t="s">
        <v>334</v>
      </c>
      <c r="I166" s="6" t="s">
        <v>335</v>
      </c>
      <c r="J166" s="6" t="s">
        <v>336</v>
      </c>
      <c r="K166" s="6" t="s">
        <v>330</v>
      </c>
      <c r="L166" s="6" t="s">
        <v>344</v>
      </c>
      <c r="M166" s="6" t="s">
        <v>358</v>
      </c>
      <c r="N166" s="6" t="s">
        <v>213</v>
      </c>
    </row>
    <row r="167" ht="15.75" customHeight="1">
      <c r="B167" s="52">
        <v>1.0</v>
      </c>
      <c r="C167" s="10" t="s">
        <v>214</v>
      </c>
      <c r="D167" s="10" t="s">
        <v>169</v>
      </c>
      <c r="E167" s="49">
        <v>49.0</v>
      </c>
      <c r="F167" s="27">
        <v>28.3741</v>
      </c>
      <c r="G167" s="27">
        <v>34.068</v>
      </c>
      <c r="H167" s="27">
        <v>39.1156</v>
      </c>
      <c r="I167" s="27">
        <v>43.4966</v>
      </c>
      <c r="J167" s="27">
        <v>51.6259</v>
      </c>
      <c r="K167" s="65">
        <v>9.0</v>
      </c>
      <c r="L167" s="65">
        <v>22.0</v>
      </c>
      <c r="M167" s="53" t="str">
        <f t="shared" ref="M167:M186" si="132">IF(K167="","–",IF(K167&lt;=21,"Yes","No"))</f>
        <v>Yes</v>
      </c>
      <c r="N167" s="5"/>
    </row>
    <row r="168" ht="15.75" customHeight="1">
      <c r="B168" s="52">
        <v>2.0</v>
      </c>
      <c r="C168" s="10" t="s">
        <v>215</v>
      </c>
      <c r="D168" s="10" t="s">
        <v>176</v>
      </c>
      <c r="E168" s="49">
        <v>169.0</v>
      </c>
      <c r="F168" s="27">
        <v>27.7653</v>
      </c>
      <c r="G168" s="27">
        <v>33.0651</v>
      </c>
      <c r="H168" s="27">
        <v>35.4103</v>
      </c>
      <c r="I168" s="27">
        <v>34.1519</v>
      </c>
      <c r="J168" s="27">
        <v>33.6154</v>
      </c>
      <c r="K168" s="65">
        <v>11.0</v>
      </c>
      <c r="L168" s="65">
        <v>8.0</v>
      </c>
      <c r="M168" s="53" t="str">
        <f t="shared" si="132"/>
        <v>Yes</v>
      </c>
      <c r="N168" s="5"/>
    </row>
    <row r="169" ht="15.75" customHeight="1">
      <c r="B169" s="52">
        <v>3.0</v>
      </c>
      <c r="C169" s="10" t="s">
        <v>216</v>
      </c>
      <c r="D169" s="10" t="s">
        <v>179</v>
      </c>
      <c r="E169" s="49">
        <v>87.0</v>
      </c>
      <c r="F169" s="27">
        <v>6.2835</v>
      </c>
      <c r="G169" s="27">
        <v>20.5939</v>
      </c>
      <c r="H169" s="27">
        <v>21.6475</v>
      </c>
      <c r="I169" s="27">
        <v>23.2567</v>
      </c>
      <c r="J169" s="27">
        <v>22.9962</v>
      </c>
      <c r="K169" s="65">
        <v>11.0</v>
      </c>
      <c r="L169" s="65">
        <v>10.0</v>
      </c>
      <c r="M169" s="53" t="str">
        <f t="shared" si="132"/>
        <v>Yes</v>
      </c>
      <c r="N169" s="5"/>
    </row>
    <row r="170" ht="15.75" customHeight="1">
      <c r="B170" s="52">
        <v>4.0</v>
      </c>
      <c r="C170" s="10" t="s">
        <v>217</v>
      </c>
      <c r="D170" s="10" t="s">
        <v>174</v>
      </c>
      <c r="E170" s="49">
        <v>108.0</v>
      </c>
      <c r="F170" s="27">
        <v>3.3858</v>
      </c>
      <c r="G170" s="27">
        <v>16.608</v>
      </c>
      <c r="H170" s="27">
        <v>25.9228</v>
      </c>
      <c r="I170" s="27">
        <v>28.0556</v>
      </c>
      <c r="J170" s="27">
        <v>31.9414</v>
      </c>
      <c r="K170" s="65">
        <v>22.0</v>
      </c>
      <c r="L170" s="65">
        <v>21.0</v>
      </c>
      <c r="M170" s="53" t="str">
        <f t="shared" si="132"/>
        <v>No</v>
      </c>
      <c r="N170" s="5"/>
    </row>
    <row r="171" ht="15.75" customHeight="1">
      <c r="B171" s="52">
        <v>5.0</v>
      </c>
      <c r="C171" s="10" t="s">
        <v>218</v>
      </c>
      <c r="D171" s="10" t="s">
        <v>179</v>
      </c>
      <c r="E171" s="49">
        <v>55.0</v>
      </c>
      <c r="F171" s="27">
        <v>3.2</v>
      </c>
      <c r="G171" s="27">
        <v>13.9152</v>
      </c>
      <c r="H171" s="27">
        <v>27.8242</v>
      </c>
      <c r="I171" s="27">
        <v>27.0061</v>
      </c>
      <c r="J171" s="27">
        <v>25.5394</v>
      </c>
      <c r="K171" s="65">
        <v>21.0</v>
      </c>
      <c r="L171" s="65">
        <v>19.0</v>
      </c>
      <c r="M171" s="53" t="str">
        <f t="shared" si="132"/>
        <v>Yes</v>
      </c>
      <c r="N171" s="5"/>
    </row>
    <row r="172" ht="15.75" customHeight="1">
      <c r="B172" s="52">
        <v>6.0</v>
      </c>
      <c r="C172" s="10" t="s">
        <v>219</v>
      </c>
      <c r="D172" s="10" t="s">
        <v>171</v>
      </c>
      <c r="E172" s="49">
        <v>210.0</v>
      </c>
      <c r="F172" s="27">
        <v>20.2794</v>
      </c>
      <c r="G172" s="27">
        <v>21.9873</v>
      </c>
      <c r="H172" s="27">
        <v>23.3429</v>
      </c>
      <c r="I172" s="27">
        <v>25.4825</v>
      </c>
      <c r="J172" s="27">
        <v>43.8762</v>
      </c>
      <c r="K172" s="65">
        <v>7.0</v>
      </c>
      <c r="L172" s="65">
        <v>41.0</v>
      </c>
      <c r="M172" s="53" t="str">
        <f t="shared" si="132"/>
        <v>Yes</v>
      </c>
      <c r="N172" s="5"/>
    </row>
    <row r="173" ht="15.75" customHeight="1">
      <c r="B173" s="52">
        <v>7.0</v>
      </c>
      <c r="C173" s="10" t="s">
        <v>220</v>
      </c>
      <c r="D173" s="10" t="s">
        <v>179</v>
      </c>
      <c r="E173" s="49">
        <v>57.0</v>
      </c>
      <c r="F173" s="27">
        <v>13.2047</v>
      </c>
      <c r="G173" s="27">
        <v>22.7661</v>
      </c>
      <c r="H173" s="27">
        <v>21.848</v>
      </c>
      <c r="I173" s="27">
        <v>30.7427</v>
      </c>
      <c r="J173" s="27">
        <v>35.6082</v>
      </c>
      <c r="K173" s="65">
        <v>13.0</v>
      </c>
      <c r="L173" s="65">
        <v>29.0</v>
      </c>
      <c r="M173" s="53" t="str">
        <f t="shared" si="132"/>
        <v>Yes</v>
      </c>
      <c r="N173" s="5"/>
    </row>
    <row r="174" ht="15.75" customHeight="1">
      <c r="B174" s="52">
        <v>8.0</v>
      </c>
      <c r="C174" s="10" t="s">
        <v>221</v>
      </c>
      <c r="D174" s="10" t="s">
        <v>179</v>
      </c>
      <c r="E174" s="49">
        <v>41.0</v>
      </c>
      <c r="F174" s="27">
        <v>-1.8537</v>
      </c>
      <c r="G174" s="27">
        <v>-4.7642</v>
      </c>
      <c r="H174" s="27">
        <v>-0.561</v>
      </c>
      <c r="I174" s="27">
        <v>12.626</v>
      </c>
      <c r="J174" s="27">
        <v>10.3577</v>
      </c>
      <c r="K174" s="65">
        <v>29.0</v>
      </c>
      <c r="L174" s="65">
        <v>28.0</v>
      </c>
      <c r="M174" s="53" t="str">
        <f t="shared" si="132"/>
        <v>No</v>
      </c>
      <c r="N174" s="5"/>
    </row>
    <row r="175" ht="15.75" customHeight="1">
      <c r="B175" s="52">
        <v>9.0</v>
      </c>
      <c r="C175" s="10" t="s">
        <v>222</v>
      </c>
      <c r="D175" s="10" t="s">
        <v>166</v>
      </c>
      <c r="E175" s="49">
        <v>8.0</v>
      </c>
      <c r="F175" s="27"/>
      <c r="G175" s="27"/>
      <c r="H175" s="27"/>
      <c r="I175" s="27"/>
      <c r="J175" s="27"/>
      <c r="K175" s="65"/>
      <c r="L175" s="65"/>
      <c r="M175" s="53" t="str">
        <f t="shared" si="132"/>
        <v>–</v>
      </c>
      <c r="N175" s="5" t="s">
        <v>223</v>
      </c>
    </row>
    <row r="176" ht="15.75" customHeight="1">
      <c r="B176" s="52">
        <v>10.0</v>
      </c>
      <c r="C176" s="10" t="s">
        <v>224</v>
      </c>
      <c r="D176" s="10" t="s">
        <v>166</v>
      </c>
      <c r="E176" s="49">
        <v>45.0</v>
      </c>
      <c r="F176" s="27">
        <v>-1.9556</v>
      </c>
      <c r="G176" s="27">
        <v>12.6296</v>
      </c>
      <c r="H176" s="27">
        <v>15.2444</v>
      </c>
      <c r="I176" s="27">
        <v>22.4296</v>
      </c>
      <c r="J176" s="27">
        <v>20.8148</v>
      </c>
      <c r="K176" s="65">
        <v>32.0</v>
      </c>
      <c r="L176" s="65">
        <v>19.0</v>
      </c>
      <c r="M176" s="53" t="str">
        <f t="shared" si="132"/>
        <v>No</v>
      </c>
      <c r="N176" s="5"/>
    </row>
    <row r="177" ht="15.75" customHeight="1">
      <c r="B177" s="52">
        <v>11.0</v>
      </c>
      <c r="C177" s="10" t="s">
        <v>225</v>
      </c>
      <c r="D177" s="10" t="s">
        <v>174</v>
      </c>
      <c r="E177" s="49">
        <v>117.0</v>
      </c>
      <c r="F177" s="27">
        <v>11.2507</v>
      </c>
      <c r="G177" s="27">
        <v>15.8974</v>
      </c>
      <c r="H177" s="27">
        <v>23.1368</v>
      </c>
      <c r="I177" s="27">
        <v>25.8234</v>
      </c>
      <c r="J177" s="27">
        <v>33.1197</v>
      </c>
      <c r="K177" s="65">
        <v>20.0</v>
      </c>
      <c r="L177" s="65">
        <v>31.0</v>
      </c>
      <c r="M177" s="53" t="str">
        <f t="shared" si="132"/>
        <v>Yes</v>
      </c>
      <c r="N177" s="5"/>
    </row>
    <row r="178" ht="15.75" customHeight="1">
      <c r="B178" s="52">
        <v>12.0</v>
      </c>
      <c r="C178" s="10" t="s">
        <v>226</v>
      </c>
      <c r="D178" s="10" t="s">
        <v>166</v>
      </c>
      <c r="E178" s="49">
        <v>20.0</v>
      </c>
      <c r="F178" s="27">
        <v>-4.8833</v>
      </c>
      <c r="G178" s="27">
        <v>11.15</v>
      </c>
      <c r="H178" s="27">
        <v>15.0667</v>
      </c>
      <c r="I178" s="27">
        <v>20.45</v>
      </c>
      <c r="J178" s="27">
        <v>24.6333</v>
      </c>
      <c r="K178" s="65">
        <v>15.0</v>
      </c>
      <c r="L178" s="65">
        <v>22.0</v>
      </c>
      <c r="M178" s="53" t="str">
        <f t="shared" si="132"/>
        <v>Yes</v>
      </c>
      <c r="N178" s="5"/>
    </row>
    <row r="179" ht="15.75" customHeight="1">
      <c r="B179" s="52">
        <v>13.0</v>
      </c>
      <c r="C179" s="10" t="s">
        <v>227</v>
      </c>
      <c r="D179" s="10" t="s">
        <v>228</v>
      </c>
      <c r="E179" s="49">
        <v>34.0</v>
      </c>
      <c r="F179" s="27">
        <v>-3.7255</v>
      </c>
      <c r="G179" s="27">
        <v>-7.3725</v>
      </c>
      <c r="H179" s="27">
        <v>-12.3725</v>
      </c>
      <c r="I179" s="27">
        <v>-16.3725</v>
      </c>
      <c r="J179" s="27">
        <v>-27.402</v>
      </c>
      <c r="K179" s="65"/>
      <c r="L179" s="65"/>
      <c r="M179" s="53" t="str">
        <f t="shared" si="132"/>
        <v>–</v>
      </c>
      <c r="N179" s="5" t="s">
        <v>368</v>
      </c>
    </row>
    <row r="180" ht="15.75" customHeight="1">
      <c r="B180" s="52">
        <v>14.0</v>
      </c>
      <c r="C180" s="10" t="s">
        <v>229</v>
      </c>
      <c r="D180" s="10" t="s">
        <v>171</v>
      </c>
      <c r="E180" s="49">
        <v>64.0</v>
      </c>
      <c r="F180" s="27">
        <v>23.0521</v>
      </c>
      <c r="G180" s="27">
        <v>37.6562</v>
      </c>
      <c r="H180" s="27">
        <v>43.2552</v>
      </c>
      <c r="I180" s="27">
        <v>44.8229</v>
      </c>
      <c r="J180" s="27">
        <v>53.8854</v>
      </c>
      <c r="K180" s="65">
        <v>12.0</v>
      </c>
      <c r="L180" s="65">
        <v>21.0</v>
      </c>
      <c r="M180" s="53" t="str">
        <f t="shared" si="132"/>
        <v>Yes</v>
      </c>
      <c r="N180" s="5"/>
    </row>
    <row r="181" ht="15.75" customHeight="1">
      <c r="B181" s="52">
        <v>15.0</v>
      </c>
      <c r="C181" s="10" t="s">
        <v>230</v>
      </c>
      <c r="D181" s="10" t="s">
        <v>166</v>
      </c>
      <c r="E181" s="49">
        <v>64.0</v>
      </c>
      <c r="F181" s="27">
        <v>17.7083</v>
      </c>
      <c r="G181" s="27">
        <v>23.0938</v>
      </c>
      <c r="H181" s="27">
        <v>27.0156</v>
      </c>
      <c r="I181" s="27">
        <v>26.8333</v>
      </c>
      <c r="J181" s="27">
        <v>31.2396</v>
      </c>
      <c r="K181" s="65">
        <v>16.0</v>
      </c>
      <c r="L181" s="65">
        <v>16.0</v>
      </c>
      <c r="M181" s="53" t="str">
        <f t="shared" si="132"/>
        <v>Yes</v>
      </c>
      <c r="N181" s="5"/>
    </row>
    <row r="182" ht="15.75" customHeight="1">
      <c r="B182" s="52">
        <v>16.0</v>
      </c>
      <c r="C182" s="10" t="s">
        <v>231</v>
      </c>
      <c r="D182" s="10" t="s">
        <v>171</v>
      </c>
      <c r="E182" s="49">
        <v>59.0</v>
      </c>
      <c r="F182" s="27">
        <v>16.0565</v>
      </c>
      <c r="G182" s="27">
        <v>16.4915</v>
      </c>
      <c r="H182" s="27">
        <v>16.6271</v>
      </c>
      <c r="I182" s="27">
        <v>24.6384</v>
      </c>
      <c r="J182" s="27">
        <v>33.3729</v>
      </c>
      <c r="K182" s="65">
        <v>9.0</v>
      </c>
      <c r="L182" s="65">
        <v>46.0</v>
      </c>
      <c r="M182" s="53" t="str">
        <f t="shared" si="132"/>
        <v>Yes</v>
      </c>
      <c r="N182" s="5"/>
    </row>
    <row r="183" ht="15.75" customHeight="1">
      <c r="B183" s="52">
        <v>17.0</v>
      </c>
      <c r="C183" s="10" t="s">
        <v>232</v>
      </c>
      <c r="D183" s="10" t="s">
        <v>175</v>
      </c>
      <c r="E183" s="49">
        <v>4.0</v>
      </c>
      <c r="F183" s="27"/>
      <c r="G183" s="27"/>
      <c r="H183" s="27"/>
      <c r="I183" s="27"/>
      <c r="J183" s="27"/>
      <c r="K183" s="65"/>
      <c r="L183" s="65"/>
      <c r="M183" s="53" t="str">
        <f t="shared" si="132"/>
        <v>–</v>
      </c>
      <c r="N183" s="5" t="s">
        <v>223</v>
      </c>
    </row>
    <row r="184" ht="15.75" customHeight="1">
      <c r="B184" s="52">
        <v>18.0</v>
      </c>
      <c r="C184" s="10" t="s">
        <v>233</v>
      </c>
      <c r="D184" s="10" t="s">
        <v>171</v>
      </c>
      <c r="E184" s="49">
        <v>45.0</v>
      </c>
      <c r="F184" s="27">
        <v>19.6593</v>
      </c>
      <c r="G184" s="27">
        <v>25.8</v>
      </c>
      <c r="H184" s="27">
        <v>31.8593</v>
      </c>
      <c r="I184" s="27">
        <v>37.6296</v>
      </c>
      <c r="J184" s="27">
        <v>41.7259</v>
      </c>
      <c r="K184" s="65">
        <v>16.0</v>
      </c>
      <c r="L184" s="65">
        <v>26.0</v>
      </c>
      <c r="M184" s="53" t="str">
        <f t="shared" si="132"/>
        <v>Yes</v>
      </c>
      <c r="N184" s="5"/>
    </row>
    <row r="185" ht="15.75" customHeight="1">
      <c r="B185" s="52">
        <v>19.0</v>
      </c>
      <c r="C185" s="10" t="s">
        <v>234</v>
      </c>
      <c r="D185" s="10" t="s">
        <v>174</v>
      </c>
      <c r="E185" s="49">
        <v>41.0</v>
      </c>
      <c r="F185" s="27">
        <v>14.0976</v>
      </c>
      <c r="G185" s="27">
        <v>23.0081</v>
      </c>
      <c r="H185" s="27">
        <v>28.1707</v>
      </c>
      <c r="I185" s="27">
        <v>33.4553</v>
      </c>
      <c r="J185" s="27">
        <v>32.3089</v>
      </c>
      <c r="K185" s="65">
        <v>17.0</v>
      </c>
      <c r="L185" s="65">
        <v>12.0</v>
      </c>
      <c r="M185" s="53" t="str">
        <f t="shared" si="132"/>
        <v>Yes</v>
      </c>
      <c r="N185" s="5"/>
    </row>
    <row r="186" ht="15.75" customHeight="1">
      <c r="B186" s="52">
        <v>20.0</v>
      </c>
      <c r="C186" s="10" t="s">
        <v>235</v>
      </c>
      <c r="D186" s="10" t="s">
        <v>236</v>
      </c>
      <c r="E186" s="49">
        <v>26.0</v>
      </c>
      <c r="F186" s="27">
        <v>17.9487</v>
      </c>
      <c r="G186" s="27">
        <v>28.9872</v>
      </c>
      <c r="H186" s="27">
        <v>35.2821</v>
      </c>
      <c r="I186" s="27">
        <v>33.2436</v>
      </c>
      <c r="J186" s="27">
        <v>35.2949</v>
      </c>
      <c r="K186" s="65">
        <v>12.0</v>
      </c>
      <c r="L186" s="65">
        <v>12.0</v>
      </c>
      <c r="M186" s="53" t="str">
        <f t="shared" si="132"/>
        <v>Yes</v>
      </c>
      <c r="N186" s="5"/>
    </row>
    <row r="187" ht="15.75" customHeight="1">
      <c r="B187" s="14" t="s">
        <v>370</v>
      </c>
      <c r="K187" s="70">
        <f>$N$97</f>
        <v>15</v>
      </c>
    </row>
    <row r="188" ht="15.75" customHeight="1">
      <c r="B188" s="14" t="s">
        <v>371</v>
      </c>
      <c r="K188" s="66">
        <f>SUMPRODUCT(E167:E186,K167:K186)/SUMIF(K167:K186,"&lt;&gt;",E167:E186)</f>
        <v>14.57438345</v>
      </c>
    </row>
    <row r="189" ht="15.75" customHeight="1">
      <c r="B189" s="14" t="s">
        <v>372</v>
      </c>
      <c r="J189" s="66">
        <f>AVERAGE(K167:K186)</f>
        <v>16</v>
      </c>
      <c r="K189" s="70">
        <f>MEDIAN(K167:K186)</f>
        <v>15</v>
      </c>
    </row>
    <row r="190" ht="15.75" customHeight="1">
      <c r="B190" s="14" t="s">
        <v>374</v>
      </c>
      <c r="K190" s="68">
        <f>ROUND(AVERAGE(K187,K188),0)</f>
        <v>15</v>
      </c>
    </row>
    <row r="191" ht="15.75" customHeight="1">
      <c r="B191" s="14" t="s">
        <v>376</v>
      </c>
      <c r="K191" s="16" t="str">
        <f>COUNTIF(M167:M186,"Yes")&amp;" of "&amp;COUNT(K167:K186)</f>
        <v>14 of 17</v>
      </c>
    </row>
    <row r="192" ht="15.75" customHeight="1"/>
    <row r="193" ht="15.75" customHeight="1">
      <c r="B193" s="39" t="s">
        <v>377</v>
      </c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</row>
    <row r="194" ht="33.75" customHeight="1">
      <c r="B194" s="6" t="s">
        <v>379</v>
      </c>
      <c r="C194" s="6" t="s">
        <v>381</v>
      </c>
      <c r="D194" s="6" t="s">
        <v>382</v>
      </c>
      <c r="E194" s="6" t="s">
        <v>383</v>
      </c>
      <c r="F194" s="6" t="s">
        <v>384</v>
      </c>
      <c r="G194" s="6" t="s">
        <v>385</v>
      </c>
    </row>
    <row r="195" ht="15.75" customHeight="1">
      <c r="B195" s="10" t="s">
        <v>389</v>
      </c>
      <c r="C195" s="24">
        <v>7.0</v>
      </c>
      <c r="D195" s="29">
        <f>SUMPRODUCT(E167:E186,F167:F186)/SUMIF(F167:F186,"&lt;&gt;",E167:E186)</f>
        <v>14.40408211</v>
      </c>
      <c r="E195" s="63">
        <f t="shared" ref="E195:E199" si="133">D195*100</f>
        <v>1440.408211</v>
      </c>
      <c r="F195" s="73">
        <f>COUNTIF(F167:F186,"&lt;0")</f>
        <v>4</v>
      </c>
      <c r="G195" s="53" t="str">
        <f t="shared" ref="G195:G199" si="134">IF(C195&lt;=$D$255,"Yes","No")</f>
        <v>Yes</v>
      </c>
    </row>
    <row r="196" ht="15.75" customHeight="1">
      <c r="B196" s="10" t="s">
        <v>394</v>
      </c>
      <c r="C196" s="24">
        <v>14.0</v>
      </c>
      <c r="D196" s="29">
        <f>SUMPRODUCT(E167:E186,G167:G186)/SUMIF(G167:G186,"&lt;&gt;",E167:E186)</f>
        <v>21.26052076</v>
      </c>
      <c r="E196" s="63">
        <f t="shared" si="133"/>
        <v>2126.052076</v>
      </c>
      <c r="F196" s="73">
        <f>COUNTIF(G167:G186,"&lt;0")</f>
        <v>2</v>
      </c>
      <c r="G196" s="53" t="str">
        <f t="shared" si="134"/>
        <v>Yes</v>
      </c>
    </row>
    <row r="197" ht="15.75" customHeight="1">
      <c r="B197" s="10" t="s">
        <v>395</v>
      </c>
      <c r="C197" s="24">
        <v>21.0</v>
      </c>
      <c r="D197" s="29">
        <f>SUMPRODUCT(E167:E186,H167:H186)/SUMIF(H167:H186,"&lt;&gt;",E167:E186)</f>
        <v>25.17171146</v>
      </c>
      <c r="E197" s="63">
        <f t="shared" si="133"/>
        <v>2517.171146</v>
      </c>
      <c r="F197" s="73">
        <f>COUNTIF(H167:H186,"&lt;0")</f>
        <v>2</v>
      </c>
      <c r="G197" s="53" t="str">
        <f t="shared" si="134"/>
        <v>Yes</v>
      </c>
    </row>
    <row r="198" ht="15.75" customHeight="1">
      <c r="B198" s="10" t="s">
        <v>399</v>
      </c>
      <c r="C198" s="24">
        <v>30.0</v>
      </c>
      <c r="D198" s="29">
        <f>SUMPRODUCT(E167:E186,I167:I186)/SUMIF(I167:I186,"&lt;&gt;",E167:E186)</f>
        <v>27.81952184</v>
      </c>
      <c r="E198" s="63">
        <f t="shared" si="133"/>
        <v>2781.952184</v>
      </c>
      <c r="F198" s="73">
        <f>COUNTIF(I167:I186,"&lt;0")</f>
        <v>1</v>
      </c>
      <c r="G198" s="53" t="str">
        <f t="shared" si="134"/>
        <v>No</v>
      </c>
    </row>
    <row r="199" ht="15.75" customHeight="1">
      <c r="B199" s="10" t="s">
        <v>400</v>
      </c>
      <c r="C199" s="24">
        <v>60.0</v>
      </c>
      <c r="D199" s="29">
        <f>SUMPRODUCT(E167:E186,J167:J186)/SUMIF(J167:J186,"&lt;&gt;",E167:E186)</f>
        <v>33.03151216</v>
      </c>
      <c r="E199" s="63">
        <f t="shared" si="133"/>
        <v>3303.151216</v>
      </c>
      <c r="F199" s="73">
        <f>COUNTIF(J167:J186,"&lt;0")</f>
        <v>1</v>
      </c>
      <c r="G199" s="53" t="str">
        <f t="shared" si="134"/>
        <v>No</v>
      </c>
    </row>
    <row r="200" ht="15.75" customHeight="1">
      <c r="B200" s="14" t="s">
        <v>402</v>
      </c>
      <c r="D200" s="29">
        <f>D198-D197</f>
        <v>2.64781038</v>
      </c>
      <c r="E200" s="29">
        <f>D199-D197</f>
        <v>7.859800697</v>
      </c>
    </row>
    <row r="201" ht="15.75" customHeight="1"/>
    <row r="202" ht="15.75" customHeight="1"/>
    <row r="203" ht="21.75" customHeight="1">
      <c r="B203" s="3" t="s">
        <v>404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ht="15.75" customHeight="1">
      <c r="B204" s="5" t="s">
        <v>405</v>
      </c>
    </row>
    <row r="205" ht="15.75" customHeight="1"/>
    <row r="206" ht="21.75" customHeight="1">
      <c r="B206" s="6" t="s">
        <v>406</v>
      </c>
      <c r="C206" s="6" t="s">
        <v>255</v>
      </c>
      <c r="D206" s="6" t="s">
        <v>329</v>
      </c>
      <c r="E206" s="6" t="s">
        <v>330</v>
      </c>
      <c r="F206" s="6" t="s">
        <v>407</v>
      </c>
    </row>
    <row r="207" ht="15.75" customHeight="1">
      <c r="B207" s="10" t="s">
        <v>408</v>
      </c>
      <c r="D207" s="49">
        <v>5108.0</v>
      </c>
      <c r="E207" s="66">
        <f>$O$97</f>
        <v>20</v>
      </c>
      <c r="F207" s="5" t="s">
        <v>410</v>
      </c>
    </row>
    <row r="208" ht="15.75" customHeight="1">
      <c r="B208" s="10" t="s">
        <v>411</v>
      </c>
      <c r="C208" s="49">
        <v>29.0</v>
      </c>
      <c r="D208" s="49">
        <v>466.0</v>
      </c>
      <c r="E208" s="67">
        <v>14.5622</v>
      </c>
      <c r="F208" s="5" t="s">
        <v>412</v>
      </c>
    </row>
    <row r="209" ht="15.75" customHeight="1">
      <c r="B209" s="10" t="s">
        <v>413</v>
      </c>
      <c r="C209" s="54">
        <f>COUNT(E422:E631)</f>
        <v>210</v>
      </c>
      <c r="D209" s="54">
        <f>SUM(D422:D631)</f>
        <v>4115</v>
      </c>
      <c r="E209" s="66">
        <f>SUMPRODUCT(D422:D631,E422:E631)/SUM(D422:D631)</f>
        <v>17.64447145</v>
      </c>
      <c r="F209" s="5" t="s">
        <v>415</v>
      </c>
    </row>
    <row r="210" ht="15.75" customHeight="1">
      <c r="B210" s="14" t="s">
        <v>417</v>
      </c>
      <c r="E210" s="68">
        <f>ROUND(AVERAGE(E207:E209),0)</f>
        <v>17</v>
      </c>
      <c r="F210" s="66">
        <f>AVERAGE(E207:E209)</f>
        <v>17.40222382</v>
      </c>
      <c r="G210" s="5" t="s">
        <v>202</v>
      </c>
    </row>
    <row r="211" ht="15.75" customHeight="1"/>
    <row r="212" ht="15.75" customHeight="1">
      <c r="B212" s="39" t="s">
        <v>427</v>
      </c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</row>
    <row r="213" ht="21.75" customHeight="1">
      <c r="B213" s="6" t="s">
        <v>428</v>
      </c>
      <c r="C213" s="6" t="s">
        <v>429</v>
      </c>
      <c r="D213" s="6" t="s">
        <v>255</v>
      </c>
      <c r="E213" s="6" t="s">
        <v>329</v>
      </c>
      <c r="F213" s="6" t="s">
        <v>256</v>
      </c>
      <c r="G213" s="6" t="s">
        <v>430</v>
      </c>
    </row>
    <row r="214" ht="15.75" customHeight="1">
      <c r="B214" s="24">
        <v>0.0</v>
      </c>
      <c r="C214" s="24">
        <v>7.0</v>
      </c>
      <c r="D214" s="54">
        <f>COUNTIFS($E$422:$E$631,"&gt;="&amp;B214,$E$422:$E$631,"&lt;="&amp;C214)</f>
        <v>18</v>
      </c>
      <c r="E214" s="54">
        <f>SUMIFS($D$422:$D$631,$E$422:$E$631,"&gt;="&amp;B214,$E$422:$E$631,"&lt;="&amp;C214)</f>
        <v>389</v>
      </c>
      <c r="F214" s="26">
        <f t="shared" ref="F214:F219" si="135">E214/SUM($E$214:$E$219)</f>
        <v>0.09453219927</v>
      </c>
      <c r="G214" s="26">
        <f t="shared" ref="G214:G219" si="136">SUM($F$214:F214)</f>
        <v>0.09453219927</v>
      </c>
    </row>
    <row r="215" ht="15.75" customHeight="1">
      <c r="B215" s="24">
        <v>7.0</v>
      </c>
      <c r="C215" s="24">
        <v>14.0</v>
      </c>
      <c r="D215" s="54">
        <f t="shared" ref="D215:D219" si="137">COUNTIFS($E$422:$E$631,"&gt;"&amp;B215,$E$422:$E$631,"&lt;="&amp;C215)</f>
        <v>59</v>
      </c>
      <c r="E215" s="54">
        <f t="shared" ref="E215:E219" si="138">SUMIFS($D$422:$D$631,$E$422:$E$631,"&gt;"&amp;B215,$E$422:$E$631,"&lt;="&amp;C215)</f>
        <v>1320</v>
      </c>
      <c r="F215" s="26">
        <f t="shared" si="135"/>
        <v>0.3207776428</v>
      </c>
      <c r="G215" s="26">
        <f t="shared" si="136"/>
        <v>0.415309842</v>
      </c>
    </row>
    <row r="216" ht="15.75" customHeight="1">
      <c r="B216" s="24">
        <v>14.0</v>
      </c>
      <c r="C216" s="24">
        <v>21.0</v>
      </c>
      <c r="D216" s="54">
        <f t="shared" si="137"/>
        <v>63</v>
      </c>
      <c r="E216" s="54">
        <f t="shared" si="138"/>
        <v>1302</v>
      </c>
      <c r="F216" s="26">
        <f t="shared" si="135"/>
        <v>0.3164034022</v>
      </c>
      <c r="G216" s="26">
        <f t="shared" si="136"/>
        <v>0.7317132442</v>
      </c>
    </row>
    <row r="217" ht="15.75" customHeight="1">
      <c r="B217" s="24">
        <v>21.0</v>
      </c>
      <c r="C217" s="24">
        <v>30.0</v>
      </c>
      <c r="D217" s="54">
        <f t="shared" si="137"/>
        <v>47</v>
      </c>
      <c r="E217" s="54">
        <f t="shared" si="138"/>
        <v>700</v>
      </c>
      <c r="F217" s="26">
        <f t="shared" si="135"/>
        <v>0.170109356</v>
      </c>
      <c r="G217" s="26">
        <f t="shared" si="136"/>
        <v>0.9018226002</v>
      </c>
    </row>
    <row r="218" ht="15.75" customHeight="1">
      <c r="B218" s="24">
        <v>30.0</v>
      </c>
      <c r="C218" s="24">
        <v>45.0</v>
      </c>
      <c r="D218" s="54">
        <f t="shared" si="137"/>
        <v>19</v>
      </c>
      <c r="E218" s="54">
        <f t="shared" si="138"/>
        <v>350</v>
      </c>
      <c r="F218" s="26">
        <f t="shared" si="135"/>
        <v>0.08505467801</v>
      </c>
      <c r="G218" s="26">
        <f t="shared" si="136"/>
        <v>0.9868772783</v>
      </c>
    </row>
    <row r="219" ht="15.75" customHeight="1">
      <c r="B219" s="24">
        <v>45.0</v>
      </c>
      <c r="C219" s="24">
        <v>60.0</v>
      </c>
      <c r="D219" s="54">
        <f t="shared" si="137"/>
        <v>4</v>
      </c>
      <c r="E219" s="54">
        <f t="shared" si="138"/>
        <v>54</v>
      </c>
      <c r="F219" s="26">
        <f t="shared" si="135"/>
        <v>0.01312272175</v>
      </c>
      <c r="G219" s="26">
        <f t="shared" si="136"/>
        <v>1</v>
      </c>
    </row>
    <row r="220" ht="15.75" customHeight="1">
      <c r="B220" s="14" t="s">
        <v>447</v>
      </c>
      <c r="F220" s="66">
        <f>AVERAGE(E422:E631)</f>
        <v>18.77142857</v>
      </c>
      <c r="G220" s="66">
        <f>MEDIAN(E422:E631)</f>
        <v>17.5</v>
      </c>
    </row>
    <row r="221" ht="15.75" customHeight="1">
      <c r="B221" s="14" t="s">
        <v>449</v>
      </c>
      <c r="G221" s="26">
        <f>SUMIFS(D422:D631,E422:E631,"&lt;=21")/SUM(D422:D631)</f>
        <v>0.7317132442</v>
      </c>
    </row>
    <row r="222" ht="15.75" customHeight="1"/>
    <row r="223" ht="15.75" customHeight="1">
      <c r="B223" s="39" t="s">
        <v>451</v>
      </c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</row>
    <row r="224" ht="30.0" customHeight="1">
      <c r="B224" s="6" t="s">
        <v>161</v>
      </c>
      <c r="C224" s="6" t="s">
        <v>255</v>
      </c>
      <c r="D224" s="6" t="s">
        <v>329</v>
      </c>
      <c r="E224" s="6" t="s">
        <v>453</v>
      </c>
      <c r="F224" s="6" t="s">
        <v>454</v>
      </c>
      <c r="G224" s="6" t="s">
        <v>455</v>
      </c>
    </row>
    <row r="225" ht="15.75" customHeight="1">
      <c r="B225" s="10" t="s">
        <v>166</v>
      </c>
      <c r="C225" s="49">
        <v>25.0</v>
      </c>
      <c r="D225" s="49">
        <v>627.0</v>
      </c>
      <c r="E225" s="67">
        <v>18.0</v>
      </c>
      <c r="F225" s="67">
        <v>18.08</v>
      </c>
      <c r="G225" s="67">
        <v>17.0</v>
      </c>
    </row>
    <row r="226" ht="15.75" customHeight="1">
      <c r="B226" s="10" t="s">
        <v>169</v>
      </c>
      <c r="C226" s="49">
        <v>24.0</v>
      </c>
      <c r="D226" s="49">
        <v>483.0</v>
      </c>
      <c r="E226" s="67">
        <v>23.0</v>
      </c>
      <c r="F226" s="67">
        <v>18.07</v>
      </c>
      <c r="G226" s="67">
        <v>25.5</v>
      </c>
    </row>
    <row r="227" ht="15.75" customHeight="1">
      <c r="B227" s="10" t="s">
        <v>171</v>
      </c>
      <c r="C227" s="49">
        <v>19.0</v>
      </c>
      <c r="D227" s="49">
        <v>432.0</v>
      </c>
      <c r="E227" s="67">
        <v>18.0</v>
      </c>
      <c r="F227" s="67">
        <v>20.64</v>
      </c>
      <c r="G227" s="67">
        <v>19.0</v>
      </c>
    </row>
    <row r="228" ht="15.75" customHeight="1">
      <c r="B228" s="10" t="s">
        <v>174</v>
      </c>
      <c r="C228" s="49">
        <v>19.0</v>
      </c>
      <c r="D228" s="49">
        <v>370.0</v>
      </c>
      <c r="E228" s="67">
        <v>13.0</v>
      </c>
      <c r="F228" s="67">
        <v>17.86</v>
      </c>
      <c r="G228" s="67">
        <v>25.0</v>
      </c>
    </row>
    <row r="229" ht="15.75" customHeight="1">
      <c r="B229" s="10" t="s">
        <v>179</v>
      </c>
      <c r="C229" s="49">
        <v>10.0</v>
      </c>
      <c r="D229" s="49">
        <v>313.0</v>
      </c>
      <c r="E229" s="67">
        <v>18.0</v>
      </c>
      <c r="F229" s="67">
        <v>17.33</v>
      </c>
      <c r="G229" s="67">
        <v>16.0</v>
      </c>
    </row>
    <row r="230" ht="15.75" customHeight="1">
      <c r="B230" s="10" t="s">
        <v>182</v>
      </c>
      <c r="C230" s="49">
        <v>13.0</v>
      </c>
      <c r="D230" s="49">
        <v>196.0</v>
      </c>
      <c r="E230" s="67">
        <v>15.0</v>
      </c>
      <c r="F230" s="67">
        <v>14.34</v>
      </c>
      <c r="G230" s="67">
        <v>24.0</v>
      </c>
    </row>
    <row r="231" ht="15.75" customHeight="1">
      <c r="B231" s="10" t="s">
        <v>172</v>
      </c>
      <c r="C231" s="49">
        <v>14.0</v>
      </c>
      <c r="D231" s="49">
        <v>195.0</v>
      </c>
      <c r="E231" s="67">
        <v>19.0</v>
      </c>
      <c r="F231" s="67">
        <v>20.62</v>
      </c>
      <c r="G231" s="67">
        <v>21.5</v>
      </c>
    </row>
    <row r="232" ht="15.75" customHeight="1">
      <c r="B232" s="10" t="s">
        <v>176</v>
      </c>
      <c r="C232" s="49">
        <v>6.0</v>
      </c>
      <c r="D232" s="49">
        <v>187.0</v>
      </c>
      <c r="E232" s="67">
        <v>18.5</v>
      </c>
      <c r="F232" s="67">
        <v>11.71</v>
      </c>
      <c r="G232" s="67">
        <v>15.5</v>
      </c>
    </row>
    <row r="233" ht="15.75" customHeight="1">
      <c r="B233" s="10" t="s">
        <v>181</v>
      </c>
      <c r="C233" s="49">
        <v>11.0</v>
      </c>
      <c r="D233" s="49">
        <v>178.0</v>
      </c>
      <c r="E233" s="67">
        <v>18.0</v>
      </c>
      <c r="F233" s="67">
        <v>20.53</v>
      </c>
      <c r="G233" s="67">
        <v>24.0</v>
      </c>
    </row>
    <row r="234" ht="15.75" customHeight="1">
      <c r="B234" s="10" t="s">
        <v>180</v>
      </c>
      <c r="C234" s="49">
        <v>8.0</v>
      </c>
      <c r="D234" s="49">
        <v>118.0</v>
      </c>
      <c r="E234" s="67">
        <v>16.0</v>
      </c>
      <c r="F234" s="67">
        <v>16.92</v>
      </c>
      <c r="G234" s="67">
        <v>25.5</v>
      </c>
    </row>
    <row r="235" ht="15.75" customHeight="1">
      <c r="B235" s="10" t="s">
        <v>175</v>
      </c>
      <c r="C235" s="49">
        <v>7.0</v>
      </c>
      <c r="D235" s="49">
        <v>117.0</v>
      </c>
      <c r="E235" s="67">
        <v>17.0</v>
      </c>
      <c r="F235" s="67">
        <v>16.44</v>
      </c>
      <c r="G235" s="67">
        <v>17.0</v>
      </c>
    </row>
    <row r="236" ht="15.75" customHeight="1">
      <c r="B236" s="10" t="s">
        <v>167</v>
      </c>
      <c r="C236" s="49">
        <v>7.0</v>
      </c>
      <c r="D236" s="49">
        <v>104.0</v>
      </c>
      <c r="E236" s="67">
        <v>17.0</v>
      </c>
      <c r="F236" s="67">
        <v>20.16</v>
      </c>
      <c r="G236" s="67">
        <v>31.0</v>
      </c>
    </row>
    <row r="237" ht="15.75" customHeight="1">
      <c r="B237" s="10" t="s">
        <v>170</v>
      </c>
      <c r="C237" s="49">
        <v>6.0</v>
      </c>
      <c r="D237" s="49">
        <v>82.0</v>
      </c>
      <c r="E237" s="67">
        <v>16.0</v>
      </c>
      <c r="F237" s="67">
        <v>18.37</v>
      </c>
      <c r="G237" s="67">
        <v>20.5</v>
      </c>
    </row>
    <row r="238" ht="15.75" customHeight="1">
      <c r="B238" s="10" t="s">
        <v>178</v>
      </c>
      <c r="C238" s="49">
        <v>6.0</v>
      </c>
      <c r="D238" s="49">
        <v>73.0</v>
      </c>
      <c r="E238" s="67">
        <v>9.5</v>
      </c>
      <c r="F238" s="67">
        <v>10.82</v>
      </c>
      <c r="G238" s="67">
        <v>22.5</v>
      </c>
    </row>
    <row r="239" ht="15.75" customHeight="1"/>
    <row r="240" ht="15.75" customHeight="1"/>
    <row r="241" ht="21.75" customHeight="1">
      <c r="B241" s="3" t="s">
        <v>466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ht="15.75" customHeight="1">
      <c r="B242" s="5" t="s">
        <v>470</v>
      </c>
    </row>
    <row r="243" ht="15.75" customHeight="1"/>
    <row r="244" ht="15.75" customHeight="1">
      <c r="B244" s="10" t="s">
        <v>471</v>
      </c>
      <c r="C244" s="65">
        <v>45.0</v>
      </c>
    </row>
    <row r="245" ht="15.75" customHeight="1">
      <c r="B245" s="10" t="s">
        <v>473</v>
      </c>
      <c r="C245" s="65">
        <v>3.0</v>
      </c>
    </row>
    <row r="246" ht="15.75" customHeight="1">
      <c r="B246" s="10" t="s">
        <v>475</v>
      </c>
      <c r="C246" s="65">
        <v>2.0</v>
      </c>
    </row>
    <row r="247" ht="15.75" customHeight="1">
      <c r="B247" s="10" t="s">
        <v>476</v>
      </c>
      <c r="C247" s="70">
        <f>$C$98</f>
        <v>21</v>
      </c>
    </row>
    <row r="248" ht="15.75" customHeight="1"/>
    <row r="249" ht="30.0" customHeight="1">
      <c r="B249" s="6" t="s">
        <v>480</v>
      </c>
      <c r="C249" s="6" t="s">
        <v>481</v>
      </c>
      <c r="D249" s="6" t="s">
        <v>482</v>
      </c>
      <c r="E249" s="6" t="s">
        <v>483</v>
      </c>
      <c r="F249" s="6" t="s">
        <v>484</v>
      </c>
      <c r="G249" s="6" t="s">
        <v>486</v>
      </c>
    </row>
    <row r="250" ht="15.75" customHeight="1">
      <c r="B250" s="10" t="s">
        <v>487</v>
      </c>
      <c r="C250" s="55">
        <v>4.0</v>
      </c>
      <c r="D250" s="70">
        <f t="shared" ref="D250:D254" si="139">MAX(0,ROUNDDOWN($C$244-$C$245-$C$246-2*C250,0))</f>
        <v>32</v>
      </c>
      <c r="E250" s="70">
        <f t="shared" ref="E250:E254" si="140">MIN($C$247,D250)</f>
        <v>21</v>
      </c>
      <c r="F250" s="53" t="str">
        <f t="shared" ref="F250:F254" si="141">IF(D250&gt;=$C$247,"Yes","No: cap shrinks")</f>
        <v>Yes</v>
      </c>
      <c r="G250" s="5" t="s">
        <v>499</v>
      </c>
    </row>
    <row r="251" ht="15.75" customHeight="1">
      <c r="B251" s="10" t="s">
        <v>501</v>
      </c>
      <c r="C251" s="55">
        <v>4.1015</v>
      </c>
      <c r="D251" s="70">
        <f t="shared" si="139"/>
        <v>31</v>
      </c>
      <c r="E251" s="70">
        <f t="shared" si="140"/>
        <v>21</v>
      </c>
      <c r="F251" s="53" t="str">
        <f t="shared" si="141"/>
        <v>Yes</v>
      </c>
      <c r="G251" s="5" t="s">
        <v>504</v>
      </c>
    </row>
    <row r="252" ht="15.75" customHeight="1">
      <c r="B252" s="10" t="s">
        <v>505</v>
      </c>
      <c r="C252" s="55">
        <v>7.1003</v>
      </c>
      <c r="D252" s="70">
        <f t="shared" si="139"/>
        <v>25</v>
      </c>
      <c r="E252" s="70">
        <f t="shared" si="140"/>
        <v>21</v>
      </c>
      <c r="F252" s="53" t="str">
        <f t="shared" si="141"/>
        <v>Yes</v>
      </c>
      <c r="G252" s="5" t="s">
        <v>506</v>
      </c>
    </row>
    <row r="253" ht="15.75" customHeight="1">
      <c r="B253" s="10" t="s">
        <v>508</v>
      </c>
      <c r="C253" s="55">
        <v>10.0</v>
      </c>
      <c r="D253" s="70">
        <f t="shared" si="139"/>
        <v>20</v>
      </c>
      <c r="E253" s="70">
        <f t="shared" si="140"/>
        <v>20</v>
      </c>
      <c r="F253" s="53" t="str">
        <f t="shared" si="141"/>
        <v>No: cap shrinks</v>
      </c>
      <c r="G253" s="5" t="s">
        <v>511</v>
      </c>
    </row>
    <row r="254" ht="15.75" customHeight="1">
      <c r="B254" s="10" t="s">
        <v>513</v>
      </c>
      <c r="C254" s="55">
        <v>12.0304</v>
      </c>
      <c r="D254" s="70">
        <f t="shared" si="139"/>
        <v>15</v>
      </c>
      <c r="E254" s="70">
        <f t="shared" si="140"/>
        <v>15</v>
      </c>
      <c r="F254" s="53" t="str">
        <f t="shared" si="141"/>
        <v>No: cap shrinks</v>
      </c>
      <c r="G254" s="5" t="s">
        <v>504</v>
      </c>
    </row>
    <row r="255" ht="15.75" customHeight="1">
      <c r="B255" s="14" t="s">
        <v>516</v>
      </c>
      <c r="D255" s="68">
        <f>D252</f>
        <v>25</v>
      </c>
    </row>
    <row r="256" ht="15.75" customHeight="1">
      <c r="B256" s="14" t="s">
        <v>520</v>
      </c>
      <c r="D256" s="32">
        <v>0.6541</v>
      </c>
      <c r="E256" s="5" t="s">
        <v>521</v>
      </c>
    </row>
    <row r="257" ht="15.75" customHeight="1">
      <c r="B257" s="14" t="s">
        <v>523</v>
      </c>
      <c r="D257" s="10" t="s">
        <v>524</v>
      </c>
    </row>
    <row r="258" ht="15.75" customHeight="1"/>
    <row r="259" ht="15.75" customHeight="1"/>
    <row r="260" ht="21.75" customHeight="1">
      <c r="B260" s="3" t="s">
        <v>527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ht="15.75" customHeight="1">
      <c r="B261" s="5" t="s">
        <v>530</v>
      </c>
    </row>
    <row r="262" ht="15.75" customHeight="1"/>
    <row r="263" ht="42.0" customHeight="1">
      <c r="B263" s="6" t="s">
        <v>209</v>
      </c>
      <c r="C263" s="6" t="s">
        <v>161</v>
      </c>
      <c r="D263" s="6" t="s">
        <v>363</v>
      </c>
      <c r="E263" s="6" t="s">
        <v>532</v>
      </c>
      <c r="F263" s="6" t="s">
        <v>533</v>
      </c>
      <c r="G263" s="6" t="s">
        <v>534</v>
      </c>
      <c r="H263" s="6" t="s">
        <v>535</v>
      </c>
      <c r="I263" s="6" t="s">
        <v>537</v>
      </c>
      <c r="J263" s="6" t="s">
        <v>316</v>
      </c>
      <c r="K263" s="6" t="s">
        <v>538</v>
      </c>
      <c r="L263" s="6" t="s">
        <v>539</v>
      </c>
    </row>
    <row r="264" ht="15.75" customHeight="1">
      <c r="B264" s="52">
        <v>1.0</v>
      </c>
      <c r="C264" s="10" t="s">
        <v>169</v>
      </c>
      <c r="D264" s="54">
        <f t="shared" ref="D264:D283" si="143">E637</f>
        <v>450</v>
      </c>
      <c r="E264" s="74">
        <f t="shared" ref="E264:F264" si="142">C637</f>
        <v>0.15562</v>
      </c>
      <c r="F264" s="30">
        <f t="shared" si="142"/>
        <v>0.32692</v>
      </c>
      <c r="G264" s="26">
        <f t="array" ref="G264">INDEX($H$637:$BA$656,1,$C$98+1)</f>
        <v>0.5533</v>
      </c>
      <c r="H264" s="26">
        <f t="shared" ref="H264:H283" si="145">1-(1+E264*$C$98/F264)^(-F264)</f>
        <v>0.5433383947</v>
      </c>
      <c r="I264" s="59">
        <f t="array" ref="I264">SUMPRODUCT((1-INDEX($H$637:$BA$656,1,0))*(COLUMN($H$637:$BA$656)-COLUMN($H$637)&lt;$C$98))</f>
        <v>12.8111</v>
      </c>
      <c r="J264" s="29">
        <f t="shared" ref="J264:J283" si="146">G264*$C$26-$C$28-$C$29*I264</f>
        <v>37.12563333</v>
      </c>
      <c r="K264" s="53" t="str">
        <f t="shared" ref="K264:K283" si="147">IF(J264&gt;0,"HOLD","RETURN")</f>
        <v>HOLD</v>
      </c>
      <c r="L264" s="59">
        <f t="shared" ref="L264:L283" si="148">G637/F637</f>
        <v>7.996274004</v>
      </c>
    </row>
    <row r="265" ht="15.75" customHeight="1">
      <c r="B265" s="52">
        <v>2.0</v>
      </c>
      <c r="C265" s="10" t="s">
        <v>176</v>
      </c>
      <c r="D265" s="54">
        <f t="shared" si="143"/>
        <v>425</v>
      </c>
      <c r="E265" s="74">
        <f t="shared" ref="E265:F265" si="144">C638</f>
        <v>0.32223</v>
      </c>
      <c r="F265" s="30">
        <f t="shared" si="144"/>
        <v>0.23075</v>
      </c>
      <c r="G265" s="26">
        <f t="array" ref="G265">INDEX($H$637:$BA$656,2,$C$98+1)</f>
        <v>0.5318</v>
      </c>
      <c r="H265" s="26">
        <f t="shared" si="145"/>
        <v>0.5449352162</v>
      </c>
      <c r="I265" s="59">
        <f t="array" ref="I265">SUMPRODUCT((1-INDEX($H$637:$BA$656,2,0))*(COLUMN($H$637:$BA$656)-COLUMN($H$637)&lt;$C$98))</f>
        <v>12.3717</v>
      </c>
      <c r="J265" s="29">
        <f t="shared" si="146"/>
        <v>34.6921</v>
      </c>
      <c r="K265" s="53" t="str">
        <f t="shared" si="147"/>
        <v>HOLD</v>
      </c>
      <c r="L265" s="59">
        <f t="shared" si="148"/>
        <v>11.55559447</v>
      </c>
    </row>
    <row r="266" ht="15.75" customHeight="1">
      <c r="B266" s="52">
        <v>3.0</v>
      </c>
      <c r="C266" s="10" t="s">
        <v>179</v>
      </c>
      <c r="D266" s="54">
        <f t="shared" si="143"/>
        <v>341</v>
      </c>
      <c r="E266" s="74">
        <f t="shared" ref="E266:F266" si="149">C639</f>
        <v>0.07528</v>
      </c>
      <c r="F266" s="30">
        <f t="shared" si="149"/>
        <v>0.33394</v>
      </c>
      <c r="G266" s="26">
        <f t="array" ref="G266">INDEX($H$637:$BA$656,3,$C$98+1)</f>
        <v>0.4633</v>
      </c>
      <c r="H266" s="26">
        <f t="shared" si="145"/>
        <v>0.441889709</v>
      </c>
      <c r="I266" s="59">
        <f t="array" ref="I266">SUMPRODUCT((1-INDEX($H$637:$BA$656,3,0))*(COLUMN($H$637:$BA$656)-COLUMN($H$637)&lt;$C$98))</f>
        <v>14.909</v>
      </c>
      <c r="J266" s="29">
        <f t="shared" si="146"/>
        <v>25.62633333</v>
      </c>
      <c r="K266" s="53" t="str">
        <f t="shared" si="147"/>
        <v>HOLD</v>
      </c>
      <c r="L266" s="59">
        <f t="shared" si="148"/>
        <v>3.995577667</v>
      </c>
    </row>
    <row r="267" ht="15.75" customHeight="1">
      <c r="B267" s="52">
        <v>4.0</v>
      </c>
      <c r="C267" s="10" t="s">
        <v>174</v>
      </c>
      <c r="D267" s="54">
        <f t="shared" si="143"/>
        <v>302</v>
      </c>
      <c r="E267" s="74">
        <f t="shared" ref="E267:F267" si="150">C640</f>
        <v>0.06061</v>
      </c>
      <c r="F267" s="30">
        <f t="shared" si="150"/>
        <v>0.41495</v>
      </c>
      <c r="G267" s="26">
        <f t="array" ref="G267">INDEX($H$637:$BA$656,4,$C$98+1)</f>
        <v>0.4437</v>
      </c>
      <c r="H267" s="26">
        <f t="shared" si="145"/>
        <v>0.4413178786</v>
      </c>
      <c r="I267" s="59">
        <f t="array" ref="I267">SUMPRODUCT((1-INDEX($H$637:$BA$656,4,0))*(COLUMN($H$637:$BA$656)-COLUMN($H$637)&lt;$C$98))</f>
        <v>15.1157</v>
      </c>
      <c r="J267" s="29">
        <f t="shared" si="146"/>
        <v>23.20543333</v>
      </c>
      <c r="K267" s="53" t="str">
        <f t="shared" si="147"/>
        <v>HOLD</v>
      </c>
      <c r="L267" s="59">
        <f t="shared" si="148"/>
        <v>6.541032149</v>
      </c>
    </row>
    <row r="268" ht="15.75" customHeight="1">
      <c r="B268" s="52">
        <v>5.0</v>
      </c>
      <c r="C268" s="10" t="s">
        <v>179</v>
      </c>
      <c r="D268" s="54">
        <f t="shared" si="143"/>
        <v>291</v>
      </c>
      <c r="E268" s="74">
        <f t="shared" ref="E268:F268" si="151">C641</f>
        <v>0.0427</v>
      </c>
      <c r="F268" s="30">
        <f t="shared" si="151"/>
        <v>0.59019</v>
      </c>
      <c r="G268" s="26">
        <f t="array" ref="G268">INDEX($H$637:$BA$656,5,$C$98+1)</f>
        <v>0.4364</v>
      </c>
      <c r="H268" s="26">
        <f t="shared" si="145"/>
        <v>0.4203518835</v>
      </c>
      <c r="I268" s="59">
        <f t="array" ref="I268">SUMPRODUCT((1-INDEX($H$637:$BA$656,5,0))*(COLUMN($H$637:$BA$656)-COLUMN($H$637)&lt;$C$98))</f>
        <v>15.921</v>
      </c>
      <c r="J268" s="29">
        <f t="shared" si="146"/>
        <v>22.061</v>
      </c>
      <c r="K268" s="53" t="str">
        <f t="shared" si="147"/>
        <v>HOLD</v>
      </c>
      <c r="L268" s="59">
        <f t="shared" si="148"/>
        <v>3.46183953</v>
      </c>
    </row>
    <row r="269" ht="15.75" customHeight="1">
      <c r="B269" s="52">
        <v>6.0</v>
      </c>
      <c r="C269" s="10" t="s">
        <v>171</v>
      </c>
      <c r="D269" s="54">
        <f t="shared" si="143"/>
        <v>291</v>
      </c>
      <c r="E269" s="74">
        <f t="shared" ref="E269:F269" si="152">C642</f>
        <v>0.06537</v>
      </c>
      <c r="F269" s="30">
        <f t="shared" si="152"/>
        <v>0.34228</v>
      </c>
      <c r="G269" s="26">
        <f t="array" ref="G269">INDEX($H$637:$BA$656,6,$C$98+1)</f>
        <v>0.3986</v>
      </c>
      <c r="H269" s="26">
        <f t="shared" si="145"/>
        <v>0.423976967</v>
      </c>
      <c r="I269" s="59">
        <f t="array" ref="I269">SUMPRODUCT((1-INDEX($H$637:$BA$656,6,0))*(COLUMN($H$637:$BA$656)-COLUMN($H$637)&lt;$C$98))</f>
        <v>14.9622</v>
      </c>
      <c r="J269" s="29">
        <f t="shared" si="146"/>
        <v>17.8446</v>
      </c>
      <c r="K269" s="53" t="str">
        <f t="shared" si="147"/>
        <v>HOLD</v>
      </c>
      <c r="L269" s="59">
        <f t="shared" si="148"/>
        <v>15.43345771</v>
      </c>
    </row>
    <row r="270" ht="15.75" customHeight="1">
      <c r="B270" s="52">
        <v>7.0</v>
      </c>
      <c r="C270" s="10" t="s">
        <v>179</v>
      </c>
      <c r="D270" s="54">
        <f t="shared" si="143"/>
        <v>279</v>
      </c>
      <c r="E270" s="74">
        <f t="shared" ref="E270:F270" si="153">C643</f>
        <v>0.04564</v>
      </c>
      <c r="F270" s="30">
        <f t="shared" si="153"/>
        <v>0.44341</v>
      </c>
      <c r="G270" s="26">
        <f t="array" ref="G270">INDEX($H$637:$BA$656,7,$C$98+1)</f>
        <v>0.405</v>
      </c>
      <c r="H270" s="26">
        <f t="shared" si="145"/>
        <v>0.3997376739</v>
      </c>
      <c r="I270" s="59">
        <f t="array" ref="I270">SUMPRODUCT((1-INDEX($H$637:$BA$656,7,0))*(COLUMN($H$637:$BA$656)-COLUMN($H$637)&lt;$C$98))</f>
        <v>15.9174</v>
      </c>
      <c r="J270" s="29">
        <f t="shared" si="146"/>
        <v>18.2942</v>
      </c>
      <c r="K270" s="53" t="str">
        <f t="shared" si="147"/>
        <v>HOLD</v>
      </c>
      <c r="L270" s="59">
        <f t="shared" si="148"/>
        <v>2.798523985</v>
      </c>
    </row>
    <row r="271" ht="15.75" customHeight="1">
      <c r="B271" s="52">
        <v>8.0</v>
      </c>
      <c r="C271" s="10" t="s">
        <v>179</v>
      </c>
      <c r="D271" s="54">
        <f t="shared" si="143"/>
        <v>273</v>
      </c>
      <c r="E271" s="74">
        <f t="shared" ref="E271:F271" si="154">C644</f>
        <v>0.06492</v>
      </c>
      <c r="F271" s="30">
        <f t="shared" si="154"/>
        <v>0.40428</v>
      </c>
      <c r="G271" s="26">
        <f t="array" ref="G271">INDEX($H$637:$BA$656,8,$C$98+1)</f>
        <v>0.4652</v>
      </c>
      <c r="H271" s="26">
        <f t="shared" si="145"/>
        <v>0.4492213437</v>
      </c>
      <c r="I271" s="59">
        <f t="array" ref="I271">SUMPRODUCT((1-INDEX($H$637:$BA$656,8,0))*(COLUMN($H$637:$BA$656)-COLUMN($H$637)&lt;$C$98))</f>
        <v>15.0255</v>
      </c>
      <c r="J271" s="29">
        <f t="shared" si="146"/>
        <v>25.8155</v>
      </c>
      <c r="K271" s="53" t="str">
        <f t="shared" si="147"/>
        <v>HOLD</v>
      </c>
      <c r="L271" s="59">
        <f t="shared" si="148"/>
        <v>3.641916168</v>
      </c>
    </row>
    <row r="272" ht="15.75" customHeight="1">
      <c r="B272" s="52">
        <v>9.0</v>
      </c>
      <c r="C272" s="10" t="s">
        <v>166</v>
      </c>
      <c r="D272" s="54">
        <f t="shared" si="143"/>
        <v>262</v>
      </c>
      <c r="E272" s="74">
        <f t="shared" ref="E272:F272" si="155">C645</f>
        <v>0.14655</v>
      </c>
      <c r="F272" s="30">
        <f t="shared" si="155"/>
        <v>0.18584</v>
      </c>
      <c r="G272" s="26">
        <f t="array" ref="G272">INDEX($H$637:$BA$656,9,$C$98+1)</f>
        <v>0.4198</v>
      </c>
      <c r="H272" s="26">
        <f t="shared" si="145"/>
        <v>0.4128939099</v>
      </c>
      <c r="I272" s="59">
        <f t="array" ref="I272">SUMPRODUCT((1-INDEX($H$637:$BA$656,9,0))*(COLUMN($H$637:$BA$656)-COLUMN($H$637)&lt;$C$98))</f>
        <v>14.6186</v>
      </c>
      <c r="J272" s="29">
        <f t="shared" si="146"/>
        <v>20.50313333</v>
      </c>
      <c r="K272" s="53" t="str">
        <f t="shared" si="147"/>
        <v>HOLD</v>
      </c>
      <c r="L272" s="59">
        <f t="shared" si="148"/>
        <v>5.881984801</v>
      </c>
    </row>
    <row r="273" ht="15.75" customHeight="1">
      <c r="B273" s="52">
        <v>10.0</v>
      </c>
      <c r="C273" s="10" t="s">
        <v>166</v>
      </c>
      <c r="D273" s="54">
        <f t="shared" si="143"/>
        <v>242</v>
      </c>
      <c r="E273" s="74">
        <f t="shared" ref="E273:F273" si="156">C646</f>
        <v>0.04368</v>
      </c>
      <c r="F273" s="30">
        <f t="shared" si="156"/>
        <v>0.35294</v>
      </c>
      <c r="G273" s="26">
        <f t="array" ref="G273">INDEX($H$637:$BA$656,10,$C$98+1)</f>
        <v>0.3719</v>
      </c>
      <c r="H273" s="26">
        <f t="shared" si="145"/>
        <v>0.3636405268</v>
      </c>
      <c r="I273" s="59">
        <f t="array" ref="I273">SUMPRODUCT((1-INDEX($H$637:$BA$656,10,0))*(COLUMN($H$637:$BA$656)-COLUMN($H$637)&lt;$C$98))</f>
        <v>16.3636</v>
      </c>
      <c r="J273" s="29">
        <f t="shared" si="146"/>
        <v>14.17346667</v>
      </c>
      <c r="K273" s="53" t="str">
        <f t="shared" si="147"/>
        <v>HOLD</v>
      </c>
      <c r="L273" s="59">
        <f t="shared" si="148"/>
        <v>2.72034564</v>
      </c>
    </row>
    <row r="274" ht="15.75" customHeight="1">
      <c r="B274" s="52">
        <v>11.0</v>
      </c>
      <c r="C274" s="10" t="s">
        <v>174</v>
      </c>
      <c r="D274" s="54">
        <f t="shared" si="143"/>
        <v>235</v>
      </c>
      <c r="E274" s="74">
        <f t="shared" ref="E274:F274" si="157">C647</f>
        <v>0.06861</v>
      </c>
      <c r="F274" s="30">
        <f t="shared" si="157"/>
        <v>0.32453</v>
      </c>
      <c r="G274" s="26">
        <f t="array" ref="G274">INDEX($H$637:$BA$656,11,$C$98+1)</f>
        <v>0.4255</v>
      </c>
      <c r="H274" s="26">
        <f t="shared" si="145"/>
        <v>0.4228558099</v>
      </c>
      <c r="I274" s="59">
        <f t="array" ref="I274">SUMPRODUCT((1-INDEX($H$637:$BA$656,11,0))*(COLUMN($H$637:$BA$656)-COLUMN($H$637)&lt;$C$98))</f>
        <v>15.1873</v>
      </c>
      <c r="J274" s="29">
        <f t="shared" si="146"/>
        <v>20.99756667</v>
      </c>
      <c r="K274" s="53" t="str">
        <f t="shared" si="147"/>
        <v>HOLD</v>
      </c>
      <c r="L274" s="59">
        <f t="shared" si="148"/>
        <v>4.609375</v>
      </c>
    </row>
    <row r="275" ht="15.75" customHeight="1">
      <c r="B275" s="52">
        <v>12.0</v>
      </c>
      <c r="C275" s="10" t="s">
        <v>166</v>
      </c>
      <c r="D275" s="54">
        <f t="shared" si="143"/>
        <v>218</v>
      </c>
      <c r="E275" s="74">
        <f t="shared" ref="E275:F275" si="158">C648</f>
        <v>0.04956</v>
      </c>
      <c r="F275" s="30">
        <f t="shared" si="158"/>
        <v>0.24167</v>
      </c>
      <c r="G275" s="26">
        <f t="array" ref="G275">INDEX($H$637:$BA$656,12,$C$98+1)</f>
        <v>0.3303</v>
      </c>
      <c r="H275" s="26">
        <f t="shared" si="145"/>
        <v>0.331910043</v>
      </c>
      <c r="I275" s="59">
        <f t="array" ref="I275">SUMPRODUCT((1-INDEX($H$637:$BA$656,12,0))*(COLUMN($H$637:$BA$656)-COLUMN($H$637)&lt;$C$98))</f>
        <v>16.5918</v>
      </c>
      <c r="J275" s="29">
        <f t="shared" si="146"/>
        <v>9.1054</v>
      </c>
      <c r="K275" s="53" t="str">
        <f t="shared" si="147"/>
        <v>HOLD</v>
      </c>
      <c r="L275" s="59">
        <f t="shared" si="148"/>
        <v>2.651709402</v>
      </c>
    </row>
    <row r="276" ht="15.75" customHeight="1">
      <c r="B276" s="52">
        <v>13.0</v>
      </c>
      <c r="C276" s="10" t="s">
        <v>663</v>
      </c>
      <c r="D276" s="54">
        <f t="shared" si="143"/>
        <v>187</v>
      </c>
      <c r="E276" s="74">
        <f t="shared" ref="E276:F276" si="159">C649</f>
        <v>0.08443</v>
      </c>
      <c r="F276" s="30">
        <f t="shared" si="159"/>
        <v>0.28667</v>
      </c>
      <c r="G276" s="26">
        <f t="array" ref="G276">INDEX($H$637:$BA$656,13,$C$98+1)</f>
        <v>0.4385</v>
      </c>
      <c r="H276" s="26">
        <f t="shared" si="145"/>
        <v>0.4318152348</v>
      </c>
      <c r="I276" s="59">
        <f t="array" ref="I276">SUMPRODUCT((1-INDEX($H$637:$BA$656,13,0))*(COLUMN($H$637:$BA$656)-COLUMN($H$637)&lt;$C$98))</f>
        <v>14.8716</v>
      </c>
      <c r="J276" s="29">
        <f t="shared" si="146"/>
        <v>22.6628</v>
      </c>
      <c r="K276" s="53" t="str">
        <f t="shared" si="147"/>
        <v>HOLD</v>
      </c>
      <c r="L276" s="59">
        <f t="shared" si="148"/>
        <v>2.966064982</v>
      </c>
    </row>
    <row r="277" ht="15.75" customHeight="1">
      <c r="B277" s="52">
        <v>14.0</v>
      </c>
      <c r="C277" s="10" t="s">
        <v>171</v>
      </c>
      <c r="D277" s="54">
        <f t="shared" si="143"/>
        <v>170</v>
      </c>
      <c r="E277" s="74">
        <f t="shared" ref="E277:F277" si="160">C650</f>
        <v>0.06943</v>
      </c>
      <c r="F277" s="30">
        <f t="shared" si="160"/>
        <v>0.33636</v>
      </c>
      <c r="G277" s="26">
        <f t="array" ref="G277">INDEX($H$637:$BA$656,14,$C$98+1)</f>
        <v>0.4235</v>
      </c>
      <c r="H277" s="26">
        <f t="shared" si="145"/>
        <v>0.4305856068</v>
      </c>
      <c r="I277" s="59">
        <f t="array" ref="I277">SUMPRODUCT((1-INDEX($H$637:$BA$656,14,0))*(COLUMN($H$637:$BA$656)-COLUMN($H$637)&lt;$C$98))</f>
        <v>15.0412</v>
      </c>
      <c r="J277" s="29">
        <f t="shared" si="146"/>
        <v>20.80626667</v>
      </c>
      <c r="K277" s="53" t="str">
        <f t="shared" si="147"/>
        <v>HOLD</v>
      </c>
      <c r="L277" s="59">
        <f t="shared" si="148"/>
        <v>4.443867618</v>
      </c>
    </row>
    <row r="278" ht="15.75" customHeight="1">
      <c r="B278" s="52">
        <v>15.0</v>
      </c>
      <c r="C278" s="10" t="s">
        <v>166</v>
      </c>
      <c r="D278" s="54">
        <f t="shared" si="143"/>
        <v>151</v>
      </c>
      <c r="E278" s="74">
        <f t="shared" ref="E278:F278" si="161">C651</f>
        <v>0.05872</v>
      </c>
      <c r="F278" s="30">
        <f t="shared" si="161"/>
        <v>0.29139</v>
      </c>
      <c r="G278" s="26">
        <f t="array" ref="G278">INDEX($H$637:$BA$656,15,$C$98+1)</f>
        <v>0.3642</v>
      </c>
      <c r="H278" s="26">
        <f t="shared" si="145"/>
        <v>0.38256544</v>
      </c>
      <c r="I278" s="59">
        <f t="array" ref="I278">SUMPRODUCT((1-INDEX($H$637:$BA$656,15,0))*(COLUMN($H$637:$BA$656)-COLUMN($H$637)&lt;$C$98))</f>
        <v>15.775</v>
      </c>
      <c r="J278" s="29">
        <f t="shared" si="146"/>
        <v>13.44566667</v>
      </c>
      <c r="K278" s="53" t="str">
        <f t="shared" si="147"/>
        <v>HOLD</v>
      </c>
      <c r="L278" s="59">
        <f t="shared" si="148"/>
        <v>4.124747134</v>
      </c>
    </row>
    <row r="279" ht="15.75" customHeight="1">
      <c r="B279" s="52">
        <v>16.0</v>
      </c>
      <c r="C279" s="10" t="s">
        <v>171</v>
      </c>
      <c r="D279" s="54">
        <f t="shared" si="143"/>
        <v>152</v>
      </c>
      <c r="E279" s="74">
        <f t="shared" ref="E279:F279" si="162">C652</f>
        <v>0.03978</v>
      </c>
      <c r="F279" s="30">
        <f t="shared" si="162"/>
        <v>0.33676</v>
      </c>
      <c r="G279" s="26">
        <f t="array" ref="G279">INDEX($H$637:$BA$656,16,$C$98+1)</f>
        <v>0.3224</v>
      </c>
      <c r="H279" s="26">
        <f t="shared" si="145"/>
        <v>0.3429613463</v>
      </c>
      <c r="I279" s="59">
        <f t="array" ref="I279">SUMPRODUCT((1-INDEX($H$637:$BA$656,16,0))*(COLUMN($H$637:$BA$656)-COLUMN($H$637)&lt;$C$98))</f>
        <v>16.5196</v>
      </c>
      <c r="J279" s="29">
        <f t="shared" si="146"/>
        <v>8.181466667</v>
      </c>
      <c r="K279" s="53" t="str">
        <f t="shared" si="147"/>
        <v>HOLD</v>
      </c>
      <c r="L279" s="59">
        <f t="shared" si="148"/>
        <v>3.244135534</v>
      </c>
    </row>
    <row r="280" ht="15.75" customHeight="1">
      <c r="B280" s="52">
        <v>17.0</v>
      </c>
      <c r="C280" s="10" t="s">
        <v>175</v>
      </c>
      <c r="D280" s="54">
        <f t="shared" si="143"/>
        <v>159</v>
      </c>
      <c r="E280" s="74">
        <f t="shared" ref="E280:F280" si="163">C653</f>
        <v>0.13318</v>
      </c>
      <c r="F280" s="30">
        <f t="shared" si="163"/>
        <v>0.18516</v>
      </c>
      <c r="G280" s="26">
        <f t="array" ref="G280">INDEX($H$637:$BA$656,17,$C$98+1)</f>
        <v>0.3962</v>
      </c>
      <c r="H280" s="26">
        <f t="shared" si="145"/>
        <v>0.4022483027</v>
      </c>
      <c r="I280" s="59">
        <f t="array" ref="I280">SUMPRODUCT((1-INDEX($H$637:$BA$656,17,0))*(COLUMN($H$637:$BA$656)-COLUMN($H$637)&lt;$C$98))</f>
        <v>14.8933</v>
      </c>
      <c r="J280" s="29">
        <f t="shared" si="146"/>
        <v>17.57956667</v>
      </c>
      <c r="K280" s="53" t="str">
        <f t="shared" si="147"/>
        <v>HOLD</v>
      </c>
      <c r="L280" s="59">
        <f t="shared" si="148"/>
        <v>8.655466162</v>
      </c>
    </row>
    <row r="281" ht="15.75" customHeight="1">
      <c r="B281" s="52">
        <v>18.0</v>
      </c>
      <c r="C281" s="10" t="s">
        <v>171</v>
      </c>
      <c r="D281" s="54">
        <f t="shared" si="143"/>
        <v>89</v>
      </c>
      <c r="E281" s="74">
        <f t="shared" ref="E281:F281" si="164">C654</f>
        <v>0.10006</v>
      </c>
      <c r="F281" s="30">
        <f t="shared" si="164"/>
        <v>0.12603</v>
      </c>
      <c r="G281" s="26">
        <f t="array" ref="G281">INDEX($H$637:$BA$656,18,$C$98+1)</f>
        <v>0.2809</v>
      </c>
      <c r="H281" s="26">
        <f t="shared" si="145"/>
        <v>0.3036903336</v>
      </c>
      <c r="I281" s="59">
        <f t="array" ref="I281">SUMPRODUCT((1-INDEX($H$637:$BA$656,18,0))*(COLUMN($H$637:$BA$656)-COLUMN($H$637)&lt;$C$98))</f>
        <v>16.472</v>
      </c>
      <c r="J281" s="29">
        <f t="shared" si="146"/>
        <v>3.217333333</v>
      </c>
      <c r="K281" s="53" t="str">
        <f t="shared" si="147"/>
        <v>HOLD</v>
      </c>
      <c r="L281" s="59">
        <f t="shared" si="148"/>
        <v>4.91496063</v>
      </c>
    </row>
    <row r="282" ht="15.75" customHeight="1">
      <c r="B282" s="52">
        <v>19.0</v>
      </c>
      <c r="C282" s="10" t="s">
        <v>174</v>
      </c>
      <c r="D282" s="54">
        <f t="shared" si="143"/>
        <v>147</v>
      </c>
      <c r="E282" s="74">
        <f t="shared" ref="E282:F282" si="165">C655</f>
        <v>0.07132</v>
      </c>
      <c r="F282" s="30">
        <f t="shared" si="165"/>
        <v>0.41087</v>
      </c>
      <c r="G282" s="26">
        <f t="array" ref="G282">INDEX($H$637:$BA$656,19,$C$98+1)</f>
        <v>0.4286</v>
      </c>
      <c r="H282" s="26">
        <f t="shared" si="145"/>
        <v>0.4679574872</v>
      </c>
      <c r="I282" s="59">
        <f t="array" ref="I282">SUMPRODUCT((1-INDEX($H$637:$BA$656,19,0))*(COLUMN($H$637:$BA$656)-COLUMN($H$637)&lt;$C$98))</f>
        <v>14.6529</v>
      </c>
      <c r="J282" s="29">
        <f t="shared" si="146"/>
        <v>21.5477</v>
      </c>
      <c r="K282" s="53" t="str">
        <f t="shared" si="147"/>
        <v>HOLD</v>
      </c>
      <c r="L282" s="59">
        <f t="shared" si="148"/>
        <v>5.129310345</v>
      </c>
    </row>
    <row r="283" ht="15.75" customHeight="1">
      <c r="B283" s="52">
        <v>20.0</v>
      </c>
      <c r="C283" s="10" t="s">
        <v>236</v>
      </c>
      <c r="D283" s="54">
        <f t="shared" si="143"/>
        <v>141</v>
      </c>
      <c r="E283" s="74">
        <f t="shared" ref="E283:F283" si="166">C656</f>
        <v>0.04752</v>
      </c>
      <c r="F283" s="30">
        <f t="shared" si="166"/>
        <v>0.37937</v>
      </c>
      <c r="G283" s="26">
        <f t="array" ref="G283">INDEX($H$637:$BA$656,20,$C$98+1)</f>
        <v>0.4043</v>
      </c>
      <c r="H283" s="26">
        <f t="shared" si="145"/>
        <v>0.3868495369</v>
      </c>
      <c r="I283" s="59">
        <f t="array" ref="I283">SUMPRODUCT((1-INDEX($H$637:$BA$656,20,0))*(COLUMN($H$637:$BA$656)-COLUMN($H$637)&lt;$C$98))</f>
        <v>16.0139</v>
      </c>
      <c r="J283" s="29">
        <f t="shared" si="146"/>
        <v>18.17803333</v>
      </c>
      <c r="K283" s="53" t="str">
        <f t="shared" si="147"/>
        <v>HOLD</v>
      </c>
      <c r="L283" s="59">
        <f t="shared" si="148"/>
        <v>2.661172161</v>
      </c>
    </row>
    <row r="284" ht="15.75" customHeight="1">
      <c r="B284" s="14" t="s">
        <v>711</v>
      </c>
      <c r="K284" s="71" t="str">
        <f>COUNTIF(K264:K283,"HOLD")&amp;" of 20"</f>
        <v>20 of 20</v>
      </c>
    </row>
    <row r="285" ht="15.75" customHeight="1">
      <c r="B285" s="14" t="s">
        <v>712</v>
      </c>
      <c r="K285" s="63">
        <f>SUMPRODUCT((K264:K283="HOLD")*J264:J283*D264:D283)/SUM(D264:D283)*100</f>
        <v>2217.351552</v>
      </c>
    </row>
    <row r="286" ht="15.75" customHeight="1"/>
    <row r="287" ht="15.75" customHeight="1"/>
    <row r="288" ht="15.75" customHeight="1">
      <c r="B288" s="39" t="s">
        <v>713</v>
      </c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</row>
    <row r="289" ht="15.75" customHeight="1">
      <c r="B289" s="14" t="s">
        <v>714</v>
      </c>
      <c r="C289" s="78">
        <v>1.0</v>
      </c>
      <c r="E289" s="79" t="str">
        <f t="array" ref="E289">INDEX(C264:C283,$C$289)</f>
        <v>bed bath table</v>
      </c>
    </row>
    <row r="290" ht="15.75" customHeight="1">
      <c r="B290" s="14" t="s">
        <v>715</v>
      </c>
      <c r="E290" s="70">
        <f>COUNTIF(G293:G338,"&gt;0")-1</f>
        <v>45</v>
      </c>
      <c r="F290" s="5" t="s">
        <v>716</v>
      </c>
    </row>
    <row r="291" ht="15.75" customHeight="1"/>
    <row r="292" ht="42.0" customHeight="1">
      <c r="B292" s="6" t="s">
        <v>717</v>
      </c>
      <c r="C292" s="6" t="s">
        <v>718</v>
      </c>
      <c r="D292" s="6" t="s">
        <v>719</v>
      </c>
      <c r="E292" s="6" t="s">
        <v>720</v>
      </c>
      <c r="F292" s="6" t="s">
        <v>721</v>
      </c>
      <c r="G292" s="6" t="s">
        <v>722</v>
      </c>
    </row>
    <row r="293" ht="15.75" customHeight="1">
      <c r="B293" s="80">
        <v>0.0</v>
      </c>
      <c r="C293" s="26">
        <f t="shared" ref="C293:C338" si="167">INDEX($H$637:$BA$656,$C$289,B293+1)</f>
        <v>0</v>
      </c>
      <c r="D293" s="26">
        <f t="shared" ref="D293:D338" si="168">1-(1+INDEX($E$264:$E$283,$C$289)*B293/INDEX($F$264:$F$283,$C$289))^(-INDEX($F$264:$F$283,$C$289))</f>
        <v>0</v>
      </c>
      <c r="E293" s="26">
        <f t="shared" ref="E293:E338" si="169">($C$28+$C$29*B293)/$C$26</f>
        <v>0.2083333333</v>
      </c>
      <c r="F293" s="26">
        <f t="shared" ref="F293:F338" si="170">INDEX($E$264:$E$283,$C$289)/(1+INDEX($E$264:$E$283,$C$289)*B293/INDEX($F$264:$F$283,$C$289))</f>
        <v>0.15562</v>
      </c>
      <c r="G293" s="29">
        <f t="shared" ref="G293:G338" si="171">F293*$C$26-$C$29</f>
        <v>18.34106667</v>
      </c>
    </row>
    <row r="294" ht="15.75" customHeight="1">
      <c r="B294" s="80">
        <v>1.0</v>
      </c>
      <c r="C294" s="26">
        <f t="shared" si="167"/>
        <v>0.0933</v>
      </c>
      <c r="D294" s="26">
        <f t="shared" si="168"/>
        <v>0.1195179653</v>
      </c>
      <c r="E294" s="26">
        <f t="shared" si="169"/>
        <v>0.2111111111</v>
      </c>
      <c r="F294" s="26">
        <f t="shared" si="170"/>
        <v>0.1054322759</v>
      </c>
      <c r="G294" s="29">
        <f t="shared" si="171"/>
        <v>12.31853977</v>
      </c>
    </row>
    <row r="295" ht="15.75" customHeight="1">
      <c r="B295" s="80">
        <v>2.0</v>
      </c>
      <c r="C295" s="26">
        <f t="shared" si="167"/>
        <v>0.1733</v>
      </c>
      <c r="D295" s="26">
        <f t="shared" si="168"/>
        <v>0.1964116462</v>
      </c>
      <c r="E295" s="26">
        <f t="shared" si="169"/>
        <v>0.2138888889</v>
      </c>
      <c r="F295" s="26">
        <f t="shared" si="170"/>
        <v>0.07972184154</v>
      </c>
      <c r="G295" s="29">
        <f t="shared" si="171"/>
        <v>9.233287652</v>
      </c>
    </row>
    <row r="296" ht="15.75" customHeight="1">
      <c r="B296" s="80">
        <v>3.0</v>
      </c>
      <c r="C296" s="26">
        <f t="shared" si="167"/>
        <v>0.2289</v>
      </c>
      <c r="D296" s="26">
        <f t="shared" si="168"/>
        <v>0.251742225</v>
      </c>
      <c r="E296" s="26">
        <f t="shared" si="169"/>
        <v>0.2166666667</v>
      </c>
      <c r="F296" s="26">
        <f t="shared" si="170"/>
        <v>0.06409243166</v>
      </c>
      <c r="G296" s="29">
        <f t="shared" si="171"/>
        <v>7.357758465</v>
      </c>
    </row>
    <row r="297" ht="15.75" customHeight="1">
      <c r="B297" s="80">
        <v>4.0</v>
      </c>
      <c r="C297" s="26">
        <f t="shared" si="167"/>
        <v>0.2867</v>
      </c>
      <c r="D297" s="26">
        <f t="shared" si="168"/>
        <v>0.2942782367</v>
      </c>
      <c r="E297" s="26">
        <f t="shared" si="169"/>
        <v>0.2194444444</v>
      </c>
      <c r="F297" s="26">
        <f t="shared" si="170"/>
        <v>0.05358678155</v>
      </c>
      <c r="G297" s="29">
        <f t="shared" si="171"/>
        <v>6.097080452</v>
      </c>
    </row>
    <row r="298" ht="15.75" customHeight="1">
      <c r="B298" s="80">
        <v>5.0</v>
      </c>
      <c r="C298" s="26">
        <f t="shared" si="167"/>
        <v>0.3378</v>
      </c>
      <c r="D298" s="26">
        <f t="shared" si="168"/>
        <v>0.3284433619</v>
      </c>
      <c r="E298" s="26">
        <f t="shared" si="169"/>
        <v>0.2222222222</v>
      </c>
      <c r="F298" s="26">
        <f t="shared" si="170"/>
        <v>0.04604015348</v>
      </c>
      <c r="G298" s="29">
        <f t="shared" si="171"/>
        <v>5.191485084</v>
      </c>
    </row>
    <row r="299" ht="15.75" customHeight="1">
      <c r="B299" s="80">
        <v>6.0</v>
      </c>
      <c r="C299" s="26">
        <f t="shared" si="167"/>
        <v>0.3511</v>
      </c>
      <c r="D299" s="26">
        <f t="shared" si="168"/>
        <v>0.3567556576</v>
      </c>
      <c r="E299" s="26">
        <f t="shared" si="169"/>
        <v>0.225</v>
      </c>
      <c r="F299" s="26">
        <f t="shared" si="170"/>
        <v>0.04035671595</v>
      </c>
      <c r="G299" s="29">
        <f t="shared" si="171"/>
        <v>4.509472581</v>
      </c>
    </row>
    <row r="300" ht="15.75" customHeight="1">
      <c r="B300" s="80">
        <v>7.0</v>
      </c>
      <c r="C300" s="26">
        <f t="shared" si="167"/>
        <v>0.3689</v>
      </c>
      <c r="D300" s="26">
        <f t="shared" si="168"/>
        <v>0.3807734828</v>
      </c>
      <c r="E300" s="26">
        <f t="shared" si="169"/>
        <v>0.2277777778</v>
      </c>
      <c r="F300" s="26">
        <f t="shared" si="170"/>
        <v>0.0359222815</v>
      </c>
      <c r="G300" s="29">
        <f t="shared" si="171"/>
        <v>3.977340447</v>
      </c>
    </row>
    <row r="301" ht="15.75" customHeight="1">
      <c r="B301" s="80">
        <v>8.0</v>
      </c>
      <c r="C301" s="26">
        <f t="shared" si="167"/>
        <v>0.4044</v>
      </c>
      <c r="D301" s="26">
        <f t="shared" si="168"/>
        <v>0.4015225578</v>
      </c>
      <c r="E301" s="26">
        <f t="shared" si="169"/>
        <v>0.2305555556</v>
      </c>
      <c r="F301" s="26">
        <f t="shared" si="170"/>
        <v>0.03236588696</v>
      </c>
      <c r="G301" s="29">
        <f t="shared" si="171"/>
        <v>3.550573102</v>
      </c>
    </row>
    <row r="302" ht="15.75" customHeight="1">
      <c r="B302" s="80">
        <v>9.0</v>
      </c>
      <c r="C302" s="26">
        <f t="shared" si="167"/>
        <v>0.4289</v>
      </c>
      <c r="D302" s="26">
        <f t="shared" si="168"/>
        <v>0.4197107822</v>
      </c>
      <c r="E302" s="26">
        <f t="shared" si="169"/>
        <v>0.2333333333</v>
      </c>
      <c r="F302" s="26">
        <f t="shared" si="170"/>
        <v>0.02945024046</v>
      </c>
      <c r="G302" s="29">
        <f t="shared" si="171"/>
        <v>3.200695522</v>
      </c>
    </row>
    <row r="303" ht="15.75" customHeight="1">
      <c r="B303" s="80">
        <v>10.0</v>
      </c>
      <c r="C303" s="26">
        <f t="shared" si="167"/>
        <v>0.4333</v>
      </c>
      <c r="D303" s="26">
        <f t="shared" si="168"/>
        <v>0.4358454469</v>
      </c>
      <c r="E303" s="26">
        <f t="shared" si="169"/>
        <v>0.2361111111</v>
      </c>
      <c r="F303" s="26">
        <f t="shared" si="170"/>
        <v>0.02701648881</v>
      </c>
      <c r="G303" s="29">
        <f t="shared" si="171"/>
        <v>2.908645323</v>
      </c>
    </row>
    <row r="304" ht="15.75" customHeight="1">
      <c r="B304" s="80">
        <v>11.0</v>
      </c>
      <c r="C304" s="26">
        <f t="shared" si="167"/>
        <v>0.4556</v>
      </c>
      <c r="D304" s="26">
        <f t="shared" si="168"/>
        <v>0.450301391</v>
      </c>
      <c r="E304" s="26">
        <f t="shared" si="169"/>
        <v>0.2388888889</v>
      </c>
      <c r="F304" s="26">
        <f t="shared" si="170"/>
        <v>0.02495428078</v>
      </c>
      <c r="G304" s="29">
        <f t="shared" si="171"/>
        <v>2.66118036</v>
      </c>
    </row>
    <row r="305" ht="15.75" customHeight="1">
      <c r="B305" s="80">
        <v>12.0</v>
      </c>
      <c r="C305" s="26">
        <f t="shared" si="167"/>
        <v>0.4622</v>
      </c>
      <c r="D305" s="26">
        <f t="shared" si="168"/>
        <v>0.463362719</v>
      </c>
      <c r="E305" s="26">
        <f t="shared" si="169"/>
        <v>0.2416666667</v>
      </c>
      <c r="F305" s="26">
        <f t="shared" si="170"/>
        <v>0.0231845688</v>
      </c>
      <c r="G305" s="29">
        <f t="shared" si="171"/>
        <v>2.448814923</v>
      </c>
    </row>
    <row r="306" ht="15.75" customHeight="1">
      <c r="B306" s="80">
        <v>13.0</v>
      </c>
      <c r="C306" s="26">
        <f t="shared" si="167"/>
        <v>0.48</v>
      </c>
      <c r="D306" s="26">
        <f t="shared" si="168"/>
        <v>0.4752494351</v>
      </c>
      <c r="E306" s="26">
        <f t="shared" si="169"/>
        <v>0.2444444444</v>
      </c>
      <c r="F306" s="26">
        <f t="shared" si="170"/>
        <v>0.02164924399</v>
      </c>
      <c r="G306" s="29">
        <f t="shared" si="171"/>
        <v>2.264575946</v>
      </c>
    </row>
    <row r="307" ht="15.75" customHeight="1">
      <c r="B307" s="80">
        <v>14.0</v>
      </c>
      <c r="C307" s="26">
        <f t="shared" si="167"/>
        <v>0.4867</v>
      </c>
      <c r="D307" s="26">
        <f t="shared" si="168"/>
        <v>0.4861350621</v>
      </c>
      <c r="E307" s="26">
        <f t="shared" si="169"/>
        <v>0.2472222222</v>
      </c>
      <c r="F307" s="26">
        <f t="shared" si="170"/>
        <v>0.02030463378</v>
      </c>
      <c r="G307" s="29">
        <f t="shared" si="171"/>
        <v>2.10322272</v>
      </c>
    </row>
    <row r="308" ht="15.75" customHeight="1">
      <c r="B308" s="80">
        <v>15.0</v>
      </c>
      <c r="C308" s="26">
        <f t="shared" si="167"/>
        <v>0.5156</v>
      </c>
      <c r="D308" s="26">
        <f t="shared" si="168"/>
        <v>0.4961586536</v>
      </c>
      <c r="E308" s="26">
        <f t="shared" si="169"/>
        <v>0.25</v>
      </c>
      <c r="F308" s="26">
        <f t="shared" si="170"/>
        <v>0.01911728095</v>
      </c>
      <c r="G308" s="29">
        <f t="shared" si="171"/>
        <v>1.96074038</v>
      </c>
    </row>
    <row r="309" ht="15.75" customHeight="1">
      <c r="B309" s="80">
        <v>16.0</v>
      </c>
      <c r="C309" s="26">
        <f t="shared" si="167"/>
        <v>0.5244</v>
      </c>
      <c r="D309" s="26">
        <f t="shared" si="168"/>
        <v>0.5054331985</v>
      </c>
      <c r="E309" s="26">
        <f t="shared" si="169"/>
        <v>0.2527777778</v>
      </c>
      <c r="F309" s="26">
        <f t="shared" si="170"/>
        <v>0.01806112182</v>
      </c>
      <c r="G309" s="29">
        <f t="shared" si="171"/>
        <v>1.834001286</v>
      </c>
    </row>
    <row r="310" ht="15.75" customHeight="1">
      <c r="B310" s="80">
        <v>17.0</v>
      </c>
      <c r="C310" s="26">
        <f t="shared" si="167"/>
        <v>0.5311</v>
      </c>
      <c r="D310" s="26">
        <f t="shared" si="168"/>
        <v>0.5140516375</v>
      </c>
      <c r="E310" s="26">
        <f t="shared" si="169"/>
        <v>0.2555555556</v>
      </c>
      <c r="F310" s="26">
        <f t="shared" si="170"/>
        <v>0.01711555089</v>
      </c>
      <c r="G310" s="29">
        <f t="shared" si="171"/>
        <v>1.720532774</v>
      </c>
    </row>
    <row r="311" ht="15.75" customHeight="1">
      <c r="B311" s="80">
        <v>18.0</v>
      </c>
      <c r="C311" s="26">
        <f t="shared" si="167"/>
        <v>0.54</v>
      </c>
      <c r="D311" s="26">
        <f t="shared" si="168"/>
        <v>0.5220912558</v>
      </c>
      <c r="E311" s="26">
        <f t="shared" si="169"/>
        <v>0.2583333333</v>
      </c>
      <c r="F311" s="26">
        <f t="shared" si="170"/>
        <v>0.01626406307</v>
      </c>
      <c r="G311" s="29">
        <f t="shared" si="171"/>
        <v>1.618354235</v>
      </c>
    </row>
    <row r="312" ht="15.75" customHeight="1">
      <c r="B312" s="80">
        <v>19.0</v>
      </c>
      <c r="C312" s="26">
        <f t="shared" si="167"/>
        <v>0.54</v>
      </c>
      <c r="D312" s="26">
        <f t="shared" si="168"/>
        <v>0.5296169482</v>
      </c>
      <c r="E312" s="26">
        <f t="shared" si="169"/>
        <v>0.2611111111</v>
      </c>
      <c r="F312" s="26">
        <f t="shared" si="170"/>
        <v>0.01549328209</v>
      </c>
      <c r="G312" s="29">
        <f t="shared" si="171"/>
        <v>1.525860518</v>
      </c>
    </row>
    <row r="313" ht="15.75" customHeight="1">
      <c r="B313" s="80">
        <v>20.0</v>
      </c>
      <c r="C313" s="26">
        <f t="shared" si="167"/>
        <v>0.5467</v>
      </c>
      <c r="D313" s="26">
        <f t="shared" si="168"/>
        <v>0.536683684</v>
      </c>
      <c r="E313" s="26">
        <f t="shared" si="169"/>
        <v>0.2638888889</v>
      </c>
      <c r="F313" s="26">
        <f t="shared" si="170"/>
        <v>0.01479225265</v>
      </c>
      <c r="G313" s="29">
        <f t="shared" si="171"/>
        <v>1.441736985</v>
      </c>
    </row>
    <row r="314" ht="15.75" customHeight="1">
      <c r="B314" s="81">
        <v>21.0</v>
      </c>
      <c r="C314" s="82">
        <f t="shared" si="167"/>
        <v>0.5533</v>
      </c>
      <c r="D314" s="82">
        <f t="shared" si="168"/>
        <v>0.5433383947</v>
      </c>
      <c r="E314" s="82">
        <f t="shared" si="169"/>
        <v>0.2666666667</v>
      </c>
      <c r="F314" s="82">
        <f t="shared" si="170"/>
        <v>0.01415191642</v>
      </c>
      <c r="G314" s="83">
        <f t="shared" si="171"/>
        <v>1.364896637</v>
      </c>
    </row>
    <row r="315" ht="15.75" customHeight="1">
      <c r="B315" s="80">
        <v>22.0</v>
      </c>
      <c r="C315" s="26">
        <f t="shared" si="167"/>
        <v>0.56</v>
      </c>
      <c r="D315" s="26">
        <f t="shared" si="168"/>
        <v>0.5496214387</v>
      </c>
      <c r="E315" s="26">
        <f t="shared" si="169"/>
        <v>0.2694444444</v>
      </c>
      <c r="F315" s="26">
        <f t="shared" si="170"/>
        <v>0.01356471844</v>
      </c>
      <c r="G315" s="29">
        <f t="shared" si="171"/>
        <v>1.29443288</v>
      </c>
    </row>
    <row r="316" ht="15.75" customHeight="1">
      <c r="B316" s="80">
        <v>23.0</v>
      </c>
      <c r="C316" s="26">
        <f t="shared" si="167"/>
        <v>0.5689</v>
      </c>
      <c r="D316" s="26">
        <f t="shared" si="168"/>
        <v>0.55556775</v>
      </c>
      <c r="E316" s="26">
        <f t="shared" si="169"/>
        <v>0.2722222222</v>
      </c>
      <c r="F316" s="26">
        <f t="shared" si="170"/>
        <v>0.01302430774</v>
      </c>
      <c r="G316" s="29">
        <f t="shared" si="171"/>
        <v>1.229583595</v>
      </c>
    </row>
    <row r="317" ht="15.75" customHeight="1">
      <c r="B317" s="80">
        <v>24.0</v>
      </c>
      <c r="C317" s="26">
        <f t="shared" si="167"/>
        <v>0.5756</v>
      </c>
      <c r="D317" s="26">
        <f t="shared" si="168"/>
        <v>0.56120775</v>
      </c>
      <c r="E317" s="26">
        <f t="shared" si="169"/>
        <v>0.275</v>
      </c>
      <c r="F317" s="26">
        <f t="shared" si="170"/>
        <v>0.01252530661</v>
      </c>
      <c r="G317" s="29">
        <f t="shared" si="171"/>
        <v>1.16970346</v>
      </c>
    </row>
    <row r="318" ht="15.75" customHeight="1">
      <c r="B318" s="80">
        <v>25.0</v>
      </c>
      <c r="C318" s="26">
        <f t="shared" si="167"/>
        <v>0.5822</v>
      </c>
      <c r="D318" s="26">
        <f t="shared" si="168"/>
        <v>0.566568077</v>
      </c>
      <c r="E318" s="26">
        <f t="shared" si="169"/>
        <v>0.2777777778</v>
      </c>
      <c r="F318" s="26">
        <f t="shared" si="170"/>
        <v>0.01206313111</v>
      </c>
      <c r="G318" s="29">
        <f t="shared" si="171"/>
        <v>1.1142424</v>
      </c>
    </row>
    <row r="319" ht="15.75" customHeight="1">
      <c r="B319" s="80">
        <v>26.0</v>
      </c>
      <c r="C319" s="26">
        <f t="shared" si="167"/>
        <v>0.5822</v>
      </c>
      <c r="D319" s="26">
        <f t="shared" si="168"/>
        <v>0.5716721763</v>
      </c>
      <c r="E319" s="26">
        <f t="shared" si="169"/>
        <v>0.2805555556</v>
      </c>
      <c r="F319" s="26">
        <f t="shared" si="170"/>
        <v>0.01163384977</v>
      </c>
      <c r="G319" s="29">
        <f t="shared" si="171"/>
        <v>1.062728639</v>
      </c>
    </row>
    <row r="320" ht="15.75" customHeight="1">
      <c r="B320" s="80">
        <v>27.0</v>
      </c>
      <c r="C320" s="26">
        <f t="shared" si="167"/>
        <v>0.5844</v>
      </c>
      <c r="D320" s="26">
        <f t="shared" si="168"/>
        <v>0.5765407808</v>
      </c>
      <c r="E320" s="26">
        <f t="shared" si="169"/>
        <v>0.2833333333</v>
      </c>
      <c r="F320" s="26">
        <f t="shared" si="170"/>
        <v>0.01123407154</v>
      </c>
      <c r="G320" s="29">
        <f t="shared" si="171"/>
        <v>1.014755251</v>
      </c>
    </row>
    <row r="321" ht="15.75" customHeight="1">
      <c r="B321" s="80">
        <v>28.0</v>
      </c>
      <c r="C321" s="26">
        <f t="shared" si="167"/>
        <v>0.5844</v>
      </c>
      <c r="D321" s="26">
        <f t="shared" si="168"/>
        <v>0.5811923051</v>
      </c>
      <c r="E321" s="26">
        <f t="shared" si="169"/>
        <v>0.2861111111</v>
      </c>
      <c r="F321" s="26">
        <f t="shared" si="170"/>
        <v>0.01086085597</v>
      </c>
      <c r="G321" s="29">
        <f t="shared" si="171"/>
        <v>0.969969383</v>
      </c>
    </row>
    <row r="322" ht="15.75" customHeight="1">
      <c r="B322" s="80">
        <v>29.0</v>
      </c>
      <c r="C322" s="26">
        <f t="shared" si="167"/>
        <v>0.5889</v>
      </c>
      <c r="D322" s="26">
        <f t="shared" si="168"/>
        <v>0.5856431719</v>
      </c>
      <c r="E322" s="26">
        <f t="shared" si="169"/>
        <v>0.2888888889</v>
      </c>
      <c r="F322" s="26">
        <f t="shared" si="170"/>
        <v>0.01051164082</v>
      </c>
      <c r="G322" s="29">
        <f t="shared" si="171"/>
        <v>0.9280635649</v>
      </c>
    </row>
    <row r="323" ht="15.75" customHeight="1">
      <c r="B323" s="80">
        <v>30.0</v>
      </c>
      <c r="C323" s="26">
        <f t="shared" si="167"/>
        <v>0.5956</v>
      </c>
      <c r="D323" s="26">
        <f t="shared" si="168"/>
        <v>0.5899080834</v>
      </c>
      <c r="E323" s="26">
        <f t="shared" si="169"/>
        <v>0.2916666667</v>
      </c>
      <c r="F323" s="26">
        <f t="shared" si="170"/>
        <v>0.01018418311</v>
      </c>
      <c r="G323" s="29">
        <f t="shared" si="171"/>
        <v>0.8887686396</v>
      </c>
    </row>
    <row r="324" ht="15.75" customHeight="1">
      <c r="B324" s="80">
        <v>31.0</v>
      </c>
      <c r="C324" s="26">
        <f t="shared" si="167"/>
        <v>0.5956</v>
      </c>
      <c r="D324" s="26">
        <f t="shared" si="168"/>
        <v>0.5940002486</v>
      </c>
      <c r="E324" s="26">
        <f t="shared" si="169"/>
        <v>0.2944444444</v>
      </c>
      <c r="F324" s="26">
        <f t="shared" si="170"/>
        <v>0.009876510908</v>
      </c>
      <c r="G324" s="29">
        <f t="shared" si="171"/>
        <v>0.8518479757</v>
      </c>
    </row>
    <row r="325" ht="15.75" customHeight="1">
      <c r="B325" s="80">
        <v>32.0</v>
      </c>
      <c r="C325" s="26">
        <f t="shared" si="167"/>
        <v>0.5956</v>
      </c>
      <c r="D325" s="26">
        <f t="shared" si="168"/>
        <v>0.5979315745</v>
      </c>
      <c r="E325" s="26">
        <f t="shared" si="169"/>
        <v>0.2972222222</v>
      </c>
      <c r="F325" s="26">
        <f t="shared" si="170"/>
        <v>0.009586883598</v>
      </c>
      <c r="G325" s="29">
        <f t="shared" si="171"/>
        <v>0.8170926984</v>
      </c>
    </row>
    <row r="326" ht="15.75" customHeight="1">
      <c r="B326" s="80">
        <v>33.0</v>
      </c>
      <c r="C326" s="26">
        <f t="shared" si="167"/>
        <v>0.6</v>
      </c>
      <c r="D326" s="26">
        <f t="shared" si="168"/>
        <v>0.6017128287</v>
      </c>
      <c r="E326" s="26">
        <f t="shared" si="169"/>
        <v>0.3</v>
      </c>
      <c r="F326" s="26">
        <f t="shared" si="170"/>
        <v>0.009313758911</v>
      </c>
      <c r="G326" s="29">
        <f t="shared" si="171"/>
        <v>0.784317736</v>
      </c>
    </row>
    <row r="327" ht="15.75" customHeight="1">
      <c r="B327" s="80">
        <v>34.0</v>
      </c>
      <c r="C327" s="26">
        <f t="shared" si="167"/>
        <v>0.6022</v>
      </c>
      <c r="D327" s="26">
        <f t="shared" si="168"/>
        <v>0.6053537765</v>
      </c>
      <c r="E327" s="26">
        <f t="shared" si="169"/>
        <v>0.3027777778</v>
      </c>
      <c r="F327" s="26">
        <f t="shared" si="170"/>
        <v>0.009055765468</v>
      </c>
      <c r="G327" s="29">
        <f t="shared" si="171"/>
        <v>0.7533585228</v>
      </c>
    </row>
    <row r="328" ht="15.75" customHeight="1">
      <c r="B328" s="80">
        <v>35.0</v>
      </c>
      <c r="C328" s="26">
        <f t="shared" si="167"/>
        <v>0.6067</v>
      </c>
      <c r="D328" s="26">
        <f t="shared" si="168"/>
        <v>0.6088632998</v>
      </c>
      <c r="E328" s="26">
        <f t="shared" si="169"/>
        <v>0.3055555556</v>
      </c>
      <c r="F328" s="26">
        <f t="shared" si="170"/>
        <v>0.008811679743</v>
      </c>
      <c r="G328" s="29">
        <f t="shared" si="171"/>
        <v>0.7240682359</v>
      </c>
    </row>
    <row r="329" ht="15.75" customHeight="1">
      <c r="B329" s="80">
        <v>36.0</v>
      </c>
      <c r="C329" s="26">
        <f t="shared" si="167"/>
        <v>0.6067</v>
      </c>
      <c r="D329" s="26">
        <f t="shared" si="168"/>
        <v>0.6122494976</v>
      </c>
      <c r="E329" s="26">
        <f t="shared" si="169"/>
        <v>0.3083333333</v>
      </c>
      <c r="F329" s="26">
        <f t="shared" si="170"/>
        <v>0.008580406663</v>
      </c>
      <c r="G329" s="29">
        <f t="shared" si="171"/>
        <v>0.6963154662</v>
      </c>
    </row>
    <row r="330" ht="15.75" customHeight="1">
      <c r="B330" s="80">
        <v>37.0</v>
      </c>
      <c r="C330" s="26">
        <f t="shared" si="167"/>
        <v>0.6067</v>
      </c>
      <c r="D330" s="26">
        <f t="shared" si="168"/>
        <v>0.6155197738</v>
      </c>
      <c r="E330" s="26">
        <f t="shared" si="169"/>
        <v>0.3111111111</v>
      </c>
      <c r="F330" s="26">
        <f t="shared" si="170"/>
        <v>0.008360963177</v>
      </c>
      <c r="G330" s="29">
        <f t="shared" si="171"/>
        <v>0.669982248</v>
      </c>
    </row>
    <row r="331" ht="15.75" customHeight="1">
      <c r="B331" s="80">
        <v>38.0</v>
      </c>
      <c r="C331" s="26">
        <f t="shared" si="167"/>
        <v>0.6133</v>
      </c>
      <c r="D331" s="26">
        <f t="shared" si="168"/>
        <v>0.6186809127</v>
      </c>
      <c r="E331" s="26">
        <f t="shared" si="169"/>
        <v>0.3138888889</v>
      </c>
      <c r="F331" s="26">
        <f t="shared" si="170"/>
        <v>0.008152464298</v>
      </c>
      <c r="G331" s="29">
        <f t="shared" si="171"/>
        <v>0.6449623824</v>
      </c>
    </row>
    <row r="332" ht="15.75" customHeight="1">
      <c r="B332" s="80">
        <v>39.0</v>
      </c>
      <c r="C332" s="26">
        <f t="shared" si="167"/>
        <v>0.6156</v>
      </c>
      <c r="D332" s="26">
        <f t="shared" si="168"/>
        <v>0.6217391448</v>
      </c>
      <c r="E332" s="26">
        <f t="shared" si="169"/>
        <v>0.3166666667</v>
      </c>
      <c r="F332" s="26">
        <f t="shared" si="170"/>
        <v>0.007954111161</v>
      </c>
      <c r="G332" s="29">
        <f t="shared" si="171"/>
        <v>0.621160006</v>
      </c>
    </row>
    <row r="333" ht="15.75" customHeight="1">
      <c r="B333" s="80">
        <v>40.0</v>
      </c>
      <c r="C333" s="26">
        <f t="shared" si="167"/>
        <v>0.62</v>
      </c>
      <c r="D333" s="26">
        <f t="shared" si="168"/>
        <v>0.6247002044</v>
      </c>
      <c r="E333" s="26">
        <f t="shared" si="169"/>
        <v>0.3194444444</v>
      </c>
      <c r="F333" s="26">
        <f t="shared" si="170"/>
        <v>0.007765180807</v>
      </c>
      <c r="G333" s="29">
        <f t="shared" si="171"/>
        <v>0.5984883636</v>
      </c>
    </row>
    <row r="334" ht="15.75" customHeight="1">
      <c r="B334" s="80">
        <v>41.0</v>
      </c>
      <c r="C334" s="26">
        <f t="shared" si="167"/>
        <v>0.6222</v>
      </c>
      <c r="D334" s="26">
        <f t="shared" si="168"/>
        <v>0.6275693793</v>
      </c>
      <c r="E334" s="26">
        <f t="shared" si="169"/>
        <v>0.3222222222</v>
      </c>
      <c r="F334" s="26">
        <f t="shared" si="170"/>
        <v>0.007585017369</v>
      </c>
      <c r="G334" s="29">
        <f t="shared" si="171"/>
        <v>0.576868751</v>
      </c>
    </row>
    <row r="335" ht="15.75" customHeight="1">
      <c r="B335" s="80">
        <v>42.0</v>
      </c>
      <c r="C335" s="26">
        <f t="shared" si="167"/>
        <v>0.6222</v>
      </c>
      <c r="D335" s="26">
        <f t="shared" si="168"/>
        <v>0.6303515555</v>
      </c>
      <c r="E335" s="26">
        <f t="shared" si="169"/>
        <v>0.325</v>
      </c>
      <c r="F335" s="26">
        <f t="shared" si="170"/>
        <v>0.007413024468</v>
      </c>
      <c r="G335" s="29">
        <f t="shared" si="171"/>
        <v>0.5562296028</v>
      </c>
    </row>
    <row r="336" ht="15.75" customHeight="1">
      <c r="B336" s="80">
        <v>43.0</v>
      </c>
      <c r="C336" s="26">
        <f t="shared" si="167"/>
        <v>0.6222</v>
      </c>
      <c r="D336" s="26">
        <f t="shared" si="168"/>
        <v>0.6330512558</v>
      </c>
      <c r="E336" s="26">
        <f t="shared" si="169"/>
        <v>0.3277777778</v>
      </c>
      <c r="F336" s="26">
        <f t="shared" si="170"/>
        <v>0.007248658618</v>
      </c>
      <c r="G336" s="29">
        <f t="shared" si="171"/>
        <v>0.5365057008</v>
      </c>
    </row>
    <row r="337" ht="15.75" customHeight="1">
      <c r="B337" s="80">
        <v>44.0</v>
      </c>
      <c r="C337" s="26">
        <f t="shared" si="167"/>
        <v>0.6267</v>
      </c>
      <c r="D337" s="26">
        <f t="shared" si="168"/>
        <v>0.6356726742</v>
      </c>
      <c r="E337" s="26">
        <f t="shared" si="169"/>
        <v>0.3305555556</v>
      </c>
      <c r="F337" s="26">
        <f t="shared" si="170"/>
        <v>0.00709142349</v>
      </c>
      <c r="G337" s="29">
        <f t="shared" si="171"/>
        <v>0.5176374854</v>
      </c>
    </row>
    <row r="338" ht="15.75" customHeight="1">
      <c r="B338" s="80">
        <v>45.0</v>
      </c>
      <c r="C338" s="26">
        <f t="shared" si="167"/>
        <v>0.6333</v>
      </c>
      <c r="D338" s="26">
        <f t="shared" si="168"/>
        <v>0.6382197061</v>
      </c>
      <c r="E338" s="26">
        <f t="shared" si="169"/>
        <v>0.3333333333</v>
      </c>
      <c r="F338" s="26">
        <f t="shared" si="170"/>
        <v>0.006940864905</v>
      </c>
      <c r="G338" s="29">
        <f t="shared" si="171"/>
        <v>0.4995704553</v>
      </c>
    </row>
    <row r="339" ht="15.75" customHeight="1"/>
    <row r="340" ht="21.75" customHeight="1">
      <c r="B340" s="3" t="s">
        <v>723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ht="15.75" customHeight="1"/>
    <row r="342" ht="30.0" customHeight="1">
      <c r="B342" s="6" t="s">
        <v>724</v>
      </c>
      <c r="C342" s="6" t="s">
        <v>329</v>
      </c>
      <c r="D342" s="6" t="s">
        <v>330</v>
      </c>
      <c r="E342" s="6" t="s">
        <v>344</v>
      </c>
      <c r="F342" s="6" t="s">
        <v>332</v>
      </c>
      <c r="G342" s="6" t="s">
        <v>333</v>
      </c>
      <c r="H342" s="6" t="s">
        <v>334</v>
      </c>
      <c r="I342" s="6" t="s">
        <v>335</v>
      </c>
      <c r="J342" s="6" t="s">
        <v>336</v>
      </c>
    </row>
    <row r="343" ht="15.75" customHeight="1">
      <c r="B343" s="10" t="s">
        <v>725</v>
      </c>
      <c r="C343" s="49">
        <v>40.0</v>
      </c>
      <c r="D343" s="65">
        <v>20.0</v>
      </c>
      <c r="E343" s="65">
        <v>28.0</v>
      </c>
      <c r="F343" s="27">
        <v>17.933</v>
      </c>
      <c r="G343" s="27">
        <v>29.95</v>
      </c>
      <c r="H343" s="27">
        <v>41.292</v>
      </c>
      <c r="I343" s="27">
        <v>47.925</v>
      </c>
      <c r="J343" s="27">
        <v>54.392</v>
      </c>
    </row>
    <row r="344" ht="15.75" customHeight="1">
      <c r="B344" s="10" t="s">
        <v>726</v>
      </c>
      <c r="C344" s="49">
        <v>29.0</v>
      </c>
      <c r="D344" s="65">
        <v>14.0</v>
      </c>
      <c r="E344" s="65">
        <v>11.0</v>
      </c>
      <c r="F344" s="27">
        <v>11.402</v>
      </c>
      <c r="G344" s="27">
        <v>39.609</v>
      </c>
      <c r="H344" s="27">
        <v>39.207</v>
      </c>
      <c r="I344" s="27">
        <v>38.69</v>
      </c>
      <c r="J344" s="27">
        <v>35.414</v>
      </c>
    </row>
    <row r="345" ht="15.75" customHeight="1">
      <c r="B345" s="10" t="s">
        <v>727</v>
      </c>
      <c r="C345" s="49">
        <v>20.0</v>
      </c>
      <c r="D345" s="65">
        <v>1.0</v>
      </c>
      <c r="E345" s="65">
        <v>45.0</v>
      </c>
      <c r="F345" s="27">
        <v>-6.833</v>
      </c>
      <c r="G345" s="27">
        <v>-7.417</v>
      </c>
      <c r="H345" s="27">
        <v>4.05</v>
      </c>
      <c r="I345" s="27">
        <v>7.867</v>
      </c>
      <c r="J345" s="27">
        <v>12.617</v>
      </c>
    </row>
    <row r="346" ht="15.75" customHeight="1">
      <c r="B346" s="10" t="s">
        <v>728</v>
      </c>
      <c r="C346" s="49">
        <v>23.0</v>
      </c>
      <c r="D346" s="65">
        <v>12.0</v>
      </c>
      <c r="E346" s="65">
        <v>2.0</v>
      </c>
      <c r="F346" s="27">
        <v>5.145</v>
      </c>
      <c r="G346" s="27">
        <v>11.217</v>
      </c>
      <c r="H346" s="27">
        <v>9.116</v>
      </c>
      <c r="I346" s="27">
        <v>8.072</v>
      </c>
      <c r="J346" s="27">
        <v>4.594</v>
      </c>
    </row>
    <row r="347" ht="15.75" customHeight="1">
      <c r="B347" s="10" t="s">
        <v>729</v>
      </c>
      <c r="C347" s="49">
        <v>27.0</v>
      </c>
      <c r="D347" s="65">
        <v>12.0</v>
      </c>
      <c r="E347" s="65">
        <v>40.0</v>
      </c>
      <c r="F347" s="27">
        <v>17.741</v>
      </c>
      <c r="G347" s="27">
        <v>29.864</v>
      </c>
      <c r="H347" s="27">
        <v>30.716</v>
      </c>
      <c r="I347" s="27">
        <v>30.383</v>
      </c>
      <c r="J347" s="27">
        <v>41.889</v>
      </c>
    </row>
    <row r="348" ht="15.75" customHeight="1">
      <c r="B348" s="10" t="s">
        <v>730</v>
      </c>
      <c r="C348" s="49">
        <v>37.0</v>
      </c>
      <c r="D348" s="65">
        <v>19.0</v>
      </c>
      <c r="E348" s="65">
        <v>17.0</v>
      </c>
      <c r="F348" s="27">
        <v>-3.405</v>
      </c>
      <c r="G348" s="27">
        <v>18.135</v>
      </c>
      <c r="H348" s="27">
        <v>27.189</v>
      </c>
      <c r="I348" s="27">
        <v>24.568</v>
      </c>
      <c r="J348" s="27">
        <v>24.081</v>
      </c>
    </row>
    <row r="349" ht="15.75" customHeight="1">
      <c r="B349" s="10" t="s">
        <v>731</v>
      </c>
      <c r="C349" s="49">
        <v>56.0</v>
      </c>
      <c r="D349" s="65">
        <v>20.0</v>
      </c>
      <c r="E349" s="65">
        <v>19.0</v>
      </c>
      <c r="F349" s="27">
        <v>16.911</v>
      </c>
      <c r="G349" s="27">
        <v>33.411</v>
      </c>
      <c r="H349" s="27">
        <v>50.571</v>
      </c>
      <c r="I349" s="27">
        <v>55.268</v>
      </c>
      <c r="J349" s="27">
        <v>56.673</v>
      </c>
    </row>
    <row r="350" ht="15.75" customHeight="1">
      <c r="B350" s="10" t="s">
        <v>732</v>
      </c>
      <c r="C350" s="49">
        <v>22.0</v>
      </c>
      <c r="D350" s="65">
        <v>6.0</v>
      </c>
      <c r="E350" s="65">
        <v>3.0</v>
      </c>
      <c r="F350" s="27">
        <v>6.015</v>
      </c>
      <c r="G350" s="27">
        <v>4.455</v>
      </c>
      <c r="H350" s="27">
        <v>4.136</v>
      </c>
      <c r="I350" s="27">
        <v>3.727</v>
      </c>
      <c r="J350" s="27">
        <v>0.318</v>
      </c>
    </row>
    <row r="351" ht="15.75" customHeight="1">
      <c r="B351" s="10" t="s">
        <v>733</v>
      </c>
      <c r="C351" s="49">
        <v>56.0</v>
      </c>
      <c r="D351" s="65">
        <v>13.0</v>
      </c>
      <c r="E351" s="65">
        <v>11.0</v>
      </c>
      <c r="F351" s="27">
        <v>-0.75</v>
      </c>
      <c r="G351" s="27">
        <v>18.333</v>
      </c>
      <c r="H351" s="27">
        <v>16.774</v>
      </c>
      <c r="I351" s="27">
        <v>14.881</v>
      </c>
      <c r="J351" s="27">
        <v>11.577</v>
      </c>
    </row>
    <row r="352" ht="15.75" customHeight="1">
      <c r="B352" s="10" t="s">
        <v>734</v>
      </c>
      <c r="C352" s="49">
        <v>45.0</v>
      </c>
      <c r="D352" s="65">
        <v>32.0</v>
      </c>
      <c r="E352" s="65">
        <v>19.0</v>
      </c>
      <c r="F352" s="27">
        <v>-1.956</v>
      </c>
      <c r="G352" s="27">
        <v>12.63</v>
      </c>
      <c r="H352" s="27">
        <v>15.244</v>
      </c>
      <c r="I352" s="27">
        <v>22.43</v>
      </c>
      <c r="J352" s="27">
        <v>20.815</v>
      </c>
    </row>
    <row r="353" ht="15.75" customHeight="1">
      <c r="B353" s="10" t="s">
        <v>735</v>
      </c>
      <c r="C353" s="49">
        <v>49.0</v>
      </c>
      <c r="D353" s="65">
        <v>30.0</v>
      </c>
      <c r="E353" s="65">
        <v>29.0</v>
      </c>
      <c r="F353" s="27">
        <v>7.891</v>
      </c>
      <c r="G353" s="27">
        <v>17.361</v>
      </c>
      <c r="H353" s="27">
        <v>23.735</v>
      </c>
      <c r="I353" s="27">
        <v>31.735</v>
      </c>
      <c r="J353" s="27">
        <v>34.844</v>
      </c>
    </row>
    <row r="354" ht="15.75" customHeight="1">
      <c r="B354" s="10" t="s">
        <v>736</v>
      </c>
      <c r="C354" s="49">
        <v>26.0</v>
      </c>
      <c r="D354" s="65">
        <v>12.0</v>
      </c>
      <c r="E354" s="65">
        <v>12.0</v>
      </c>
      <c r="F354" s="27">
        <v>17.949</v>
      </c>
      <c r="G354" s="27">
        <v>28.987</v>
      </c>
      <c r="H354" s="27">
        <v>35.282</v>
      </c>
      <c r="I354" s="27">
        <v>33.244</v>
      </c>
      <c r="J354" s="27">
        <v>35.295</v>
      </c>
    </row>
    <row r="355" ht="15.75" customHeight="1">
      <c r="B355" s="10" t="s">
        <v>737</v>
      </c>
      <c r="C355" s="49">
        <v>35.0</v>
      </c>
      <c r="D355" s="65">
        <v>19.0</v>
      </c>
      <c r="E355" s="65">
        <v>18.0</v>
      </c>
      <c r="F355" s="27">
        <v>16.667</v>
      </c>
      <c r="G355" s="27">
        <v>21.524</v>
      </c>
      <c r="H355" s="27">
        <v>28.029</v>
      </c>
      <c r="I355" s="27">
        <v>26.686</v>
      </c>
      <c r="J355" s="27">
        <v>27.857</v>
      </c>
    </row>
    <row r="356" ht="15.75" customHeight="1">
      <c r="B356" s="10" t="s">
        <v>738</v>
      </c>
      <c r="C356" s="49">
        <v>57.0</v>
      </c>
      <c r="D356" s="65">
        <v>13.0</v>
      </c>
      <c r="E356" s="65">
        <v>29.0</v>
      </c>
      <c r="F356" s="27">
        <v>13.205</v>
      </c>
      <c r="G356" s="27">
        <v>22.766</v>
      </c>
      <c r="H356" s="27">
        <v>21.848</v>
      </c>
      <c r="I356" s="27">
        <v>30.743</v>
      </c>
      <c r="J356" s="27">
        <v>35.608</v>
      </c>
    </row>
    <row r="357" ht="15.75" customHeight="1">
      <c r="B357" s="10" t="s">
        <v>739</v>
      </c>
      <c r="C357" s="49">
        <v>55.0</v>
      </c>
      <c r="D357" s="65">
        <v>21.0</v>
      </c>
      <c r="E357" s="65">
        <v>19.0</v>
      </c>
      <c r="F357" s="27">
        <v>3.2</v>
      </c>
      <c r="G357" s="27">
        <v>13.915</v>
      </c>
      <c r="H357" s="27">
        <v>27.824</v>
      </c>
      <c r="I357" s="27">
        <v>27.006</v>
      </c>
      <c r="J357" s="27">
        <v>25.539</v>
      </c>
    </row>
    <row r="358" ht="15.75" customHeight="1">
      <c r="B358" s="10" t="s">
        <v>740</v>
      </c>
      <c r="C358" s="49">
        <v>20.0</v>
      </c>
      <c r="D358" s="65">
        <v>17.0</v>
      </c>
      <c r="E358" s="65">
        <v>33.0</v>
      </c>
      <c r="F358" s="27">
        <v>-4.867</v>
      </c>
      <c r="G358" s="27">
        <v>18.533</v>
      </c>
      <c r="H358" s="27">
        <v>30.317</v>
      </c>
      <c r="I358" s="27">
        <v>30.167</v>
      </c>
      <c r="J358" s="27">
        <v>40.783</v>
      </c>
    </row>
    <row r="359" ht="15.75" customHeight="1">
      <c r="B359" s="10" t="s">
        <v>741</v>
      </c>
      <c r="C359" s="49">
        <v>117.0</v>
      </c>
      <c r="D359" s="65">
        <v>20.0</v>
      </c>
      <c r="E359" s="65">
        <v>31.0</v>
      </c>
      <c r="F359" s="27">
        <v>11.251</v>
      </c>
      <c r="G359" s="27">
        <v>15.897</v>
      </c>
      <c r="H359" s="27">
        <v>23.137</v>
      </c>
      <c r="I359" s="27">
        <v>25.823</v>
      </c>
      <c r="J359" s="27">
        <v>33.12</v>
      </c>
    </row>
    <row r="360" ht="15.75" customHeight="1">
      <c r="B360" s="10" t="s">
        <v>742</v>
      </c>
      <c r="C360" s="49">
        <v>31.0</v>
      </c>
      <c r="D360" s="65">
        <v>15.0</v>
      </c>
      <c r="E360" s="65">
        <v>13.0</v>
      </c>
      <c r="F360" s="27">
        <v>31.591</v>
      </c>
      <c r="G360" s="27">
        <v>37.72</v>
      </c>
      <c r="H360" s="27">
        <v>41.054</v>
      </c>
      <c r="I360" s="27">
        <v>38.118</v>
      </c>
      <c r="J360" s="27">
        <v>37.667</v>
      </c>
    </row>
    <row r="361" ht="15.75" customHeight="1">
      <c r="B361" s="10" t="s">
        <v>743</v>
      </c>
      <c r="C361" s="49">
        <v>74.0</v>
      </c>
      <c r="D361" s="65">
        <v>30.0</v>
      </c>
      <c r="E361" s="65">
        <v>27.0</v>
      </c>
      <c r="F361" s="27">
        <v>3.766</v>
      </c>
      <c r="G361" s="27">
        <v>19.491</v>
      </c>
      <c r="H361" s="27">
        <v>35.932</v>
      </c>
      <c r="I361" s="27">
        <v>46.27</v>
      </c>
      <c r="J361" s="27">
        <v>48.0</v>
      </c>
    </row>
    <row r="362" ht="15.75" customHeight="1">
      <c r="B362" s="10" t="s">
        <v>744</v>
      </c>
      <c r="C362" s="49">
        <v>36.0</v>
      </c>
      <c r="D362" s="65">
        <v>11.0</v>
      </c>
      <c r="E362" s="65">
        <v>25.0</v>
      </c>
      <c r="F362" s="27">
        <v>32.278</v>
      </c>
      <c r="G362" s="27">
        <v>47.722</v>
      </c>
      <c r="H362" s="27">
        <v>49.87</v>
      </c>
      <c r="I362" s="27">
        <v>58.639</v>
      </c>
      <c r="J362" s="27">
        <v>64.639</v>
      </c>
    </row>
    <row r="363" ht="15.75" customHeight="1">
      <c r="B363" s="10" t="s">
        <v>745</v>
      </c>
      <c r="C363" s="49">
        <v>87.0</v>
      </c>
      <c r="D363" s="65">
        <v>11.0</v>
      </c>
      <c r="E363" s="65">
        <v>10.0</v>
      </c>
      <c r="F363" s="27">
        <v>6.284</v>
      </c>
      <c r="G363" s="27">
        <v>20.594</v>
      </c>
      <c r="H363" s="27">
        <v>21.648</v>
      </c>
      <c r="I363" s="27">
        <v>23.257</v>
      </c>
      <c r="J363" s="27">
        <v>22.996</v>
      </c>
    </row>
    <row r="364" ht="15.75" customHeight="1">
      <c r="B364" s="10" t="s">
        <v>746</v>
      </c>
      <c r="C364" s="49">
        <v>23.0</v>
      </c>
      <c r="D364" s="65">
        <v>1.0</v>
      </c>
      <c r="E364" s="65">
        <v>43.0</v>
      </c>
      <c r="F364" s="27">
        <v>-1.913</v>
      </c>
      <c r="G364" s="27">
        <v>-3.478</v>
      </c>
      <c r="H364" s="27">
        <v>-5.783</v>
      </c>
      <c r="I364" s="27">
        <v>7.304</v>
      </c>
      <c r="J364" s="27">
        <v>23.957</v>
      </c>
    </row>
    <row r="365" ht="15.75" customHeight="1">
      <c r="B365" s="10" t="s">
        <v>747</v>
      </c>
      <c r="C365" s="49">
        <v>34.0</v>
      </c>
      <c r="D365" s="65">
        <v>1.0</v>
      </c>
      <c r="E365" s="65">
        <v>38.0</v>
      </c>
      <c r="F365" s="27">
        <v>-4.461</v>
      </c>
      <c r="G365" s="27">
        <v>2.098</v>
      </c>
      <c r="H365" s="27">
        <v>4.941</v>
      </c>
      <c r="I365" s="27">
        <v>1.824</v>
      </c>
      <c r="J365" s="27">
        <v>11.324</v>
      </c>
    </row>
    <row r="366" ht="15.75" customHeight="1">
      <c r="B366" s="10" t="s">
        <v>748</v>
      </c>
      <c r="C366" s="49">
        <v>69.0</v>
      </c>
      <c r="D366" s="65">
        <v>18.0</v>
      </c>
      <c r="E366" s="65">
        <v>25.0</v>
      </c>
      <c r="F366" s="27">
        <v>12.097</v>
      </c>
      <c r="G366" s="27">
        <v>22.425</v>
      </c>
      <c r="H366" s="27">
        <v>27.536</v>
      </c>
      <c r="I366" s="27">
        <v>31.952</v>
      </c>
      <c r="J366" s="27">
        <v>39.198</v>
      </c>
    </row>
    <row r="367" ht="15.75" customHeight="1">
      <c r="B367" s="10" t="s">
        <v>749</v>
      </c>
      <c r="C367" s="49">
        <v>21.0</v>
      </c>
      <c r="D367" s="65">
        <v>20.0</v>
      </c>
      <c r="E367" s="65">
        <v>20.0</v>
      </c>
      <c r="F367" s="27">
        <v>-2.048</v>
      </c>
      <c r="G367" s="27">
        <v>3.159</v>
      </c>
      <c r="H367" s="27">
        <v>8.444</v>
      </c>
      <c r="I367" s="27">
        <v>8.016</v>
      </c>
      <c r="J367" s="27">
        <v>6.587</v>
      </c>
    </row>
    <row r="368" ht="15.75" customHeight="1">
      <c r="B368" s="10" t="s">
        <v>750</v>
      </c>
      <c r="C368" s="49">
        <v>42.0</v>
      </c>
      <c r="D368" s="65">
        <v>22.0</v>
      </c>
      <c r="E368" s="65">
        <v>16.0</v>
      </c>
      <c r="F368" s="27">
        <v>-1.714</v>
      </c>
      <c r="G368" s="27">
        <v>-2.365</v>
      </c>
      <c r="H368" s="27">
        <v>4.667</v>
      </c>
      <c r="I368" s="27">
        <v>6.175</v>
      </c>
      <c r="J368" s="27">
        <v>2.365</v>
      </c>
    </row>
    <row r="369" ht="15.75" customHeight="1">
      <c r="B369" s="10" t="s">
        <v>751</v>
      </c>
      <c r="C369" s="49">
        <v>44.0</v>
      </c>
      <c r="D369" s="65">
        <v>25.0</v>
      </c>
      <c r="E369" s="65">
        <v>21.0</v>
      </c>
      <c r="F369" s="27">
        <v>33.652</v>
      </c>
      <c r="G369" s="27">
        <v>39.348</v>
      </c>
      <c r="H369" s="27">
        <v>51.78</v>
      </c>
      <c r="I369" s="27">
        <v>62.765</v>
      </c>
      <c r="J369" s="27">
        <v>63.5</v>
      </c>
    </row>
    <row r="370" ht="15.75" customHeight="1">
      <c r="B370" s="10" t="s">
        <v>752</v>
      </c>
      <c r="C370" s="49">
        <v>26.0</v>
      </c>
      <c r="D370" s="65">
        <v>11.0</v>
      </c>
      <c r="E370" s="65">
        <v>44.0</v>
      </c>
      <c r="F370" s="27">
        <v>9.577</v>
      </c>
      <c r="G370" s="27">
        <v>11.231</v>
      </c>
      <c r="H370" s="27">
        <v>13.897</v>
      </c>
      <c r="I370" s="27">
        <v>14.833</v>
      </c>
      <c r="J370" s="27">
        <v>31.667</v>
      </c>
    </row>
    <row r="371" ht="15.75" customHeight="1">
      <c r="B371" s="10" t="s">
        <v>753</v>
      </c>
      <c r="C371" s="49">
        <v>41.0</v>
      </c>
      <c r="D371" s="65">
        <v>29.0</v>
      </c>
      <c r="E371" s="65">
        <v>28.0</v>
      </c>
      <c r="F371" s="27">
        <v>-1.854</v>
      </c>
      <c r="G371" s="27">
        <v>-4.764</v>
      </c>
      <c r="H371" s="27">
        <v>-0.561</v>
      </c>
      <c r="I371" s="27">
        <v>12.626</v>
      </c>
      <c r="J371" s="27">
        <v>10.358</v>
      </c>
    </row>
    <row r="372" ht="15.75" customHeight="1">
      <c r="B372" s="10" t="s">
        <v>754</v>
      </c>
      <c r="C372" s="49">
        <v>210.0</v>
      </c>
      <c r="D372" s="65">
        <v>7.0</v>
      </c>
      <c r="E372" s="65">
        <v>41.0</v>
      </c>
      <c r="F372" s="27">
        <v>20.279</v>
      </c>
      <c r="G372" s="27">
        <v>21.987</v>
      </c>
      <c r="H372" s="27">
        <v>23.343</v>
      </c>
      <c r="I372" s="27">
        <v>25.483</v>
      </c>
      <c r="J372" s="27">
        <v>43.876</v>
      </c>
    </row>
    <row r="373" ht="15.75" customHeight="1">
      <c r="B373" s="10" t="s">
        <v>755</v>
      </c>
      <c r="C373" s="49">
        <v>35.0</v>
      </c>
      <c r="D373" s="65">
        <v>13.0</v>
      </c>
      <c r="E373" s="65">
        <v>8.0</v>
      </c>
      <c r="F373" s="27">
        <v>29.048</v>
      </c>
      <c r="G373" s="27">
        <v>43.581</v>
      </c>
      <c r="H373" s="27">
        <v>43.448</v>
      </c>
      <c r="I373" s="27">
        <v>45.705</v>
      </c>
      <c r="J373" s="27">
        <v>43.848</v>
      </c>
    </row>
    <row r="374" ht="15.75" customHeight="1">
      <c r="B374" s="10" t="s">
        <v>756</v>
      </c>
      <c r="C374" s="49">
        <v>34.0</v>
      </c>
      <c r="D374" s="65">
        <v>1.0</v>
      </c>
      <c r="E374" s="65">
        <v>3.0</v>
      </c>
      <c r="F374" s="27">
        <v>-3.725</v>
      </c>
      <c r="G374" s="27">
        <v>-7.373</v>
      </c>
      <c r="H374" s="27">
        <v>-12.373</v>
      </c>
      <c r="I374" s="27">
        <v>-16.373</v>
      </c>
      <c r="J374" s="27">
        <v>-27.402</v>
      </c>
    </row>
    <row r="375" ht="15.75" customHeight="1">
      <c r="B375" s="10" t="s">
        <v>757</v>
      </c>
      <c r="C375" s="49">
        <v>21.0</v>
      </c>
      <c r="D375" s="65">
        <v>12.0</v>
      </c>
      <c r="E375" s="65">
        <v>12.0</v>
      </c>
      <c r="F375" s="27">
        <v>7.46</v>
      </c>
      <c r="G375" s="27">
        <v>18.444</v>
      </c>
      <c r="H375" s="27">
        <v>17.444</v>
      </c>
      <c r="I375" s="27">
        <v>16.159</v>
      </c>
      <c r="J375" s="27">
        <v>24.175</v>
      </c>
    </row>
    <row r="376" ht="15.75" customHeight="1">
      <c r="B376" s="10" t="s">
        <v>758</v>
      </c>
      <c r="C376" s="49">
        <v>23.0</v>
      </c>
      <c r="D376" s="65">
        <v>20.0</v>
      </c>
      <c r="E376" s="65">
        <v>19.0</v>
      </c>
      <c r="F376" s="27">
        <v>24.333</v>
      </c>
      <c r="G376" s="27">
        <v>47.391</v>
      </c>
      <c r="H376" s="27">
        <v>61.319</v>
      </c>
      <c r="I376" s="27">
        <v>59.536</v>
      </c>
      <c r="J376" s="27">
        <v>63.58</v>
      </c>
    </row>
    <row r="377" ht="15.75" customHeight="1">
      <c r="B377" s="10" t="s">
        <v>759</v>
      </c>
      <c r="C377" s="49">
        <v>67.0</v>
      </c>
      <c r="D377" s="65">
        <v>51.0</v>
      </c>
      <c r="E377" s="65">
        <v>48.0</v>
      </c>
      <c r="F377" s="27">
        <v>2.905</v>
      </c>
      <c r="G377" s="27">
        <v>8.488</v>
      </c>
      <c r="H377" s="27">
        <v>14.751</v>
      </c>
      <c r="I377" s="27">
        <v>19.403</v>
      </c>
      <c r="J377" s="27">
        <v>36.393</v>
      </c>
    </row>
    <row r="378" ht="15.75" customHeight="1">
      <c r="B378" s="10" t="s">
        <v>760</v>
      </c>
      <c r="C378" s="49">
        <v>22.0</v>
      </c>
      <c r="D378" s="65">
        <v>28.0</v>
      </c>
      <c r="E378" s="65">
        <v>20.0</v>
      </c>
      <c r="F378" s="27">
        <v>16.47</v>
      </c>
      <c r="G378" s="27">
        <v>27.091</v>
      </c>
      <c r="H378" s="27">
        <v>36.136</v>
      </c>
      <c r="I378" s="27">
        <v>45.273</v>
      </c>
      <c r="J378" s="27">
        <v>43.909</v>
      </c>
    </row>
    <row r="379" ht="15.75" customHeight="1">
      <c r="B379" s="10" t="s">
        <v>761</v>
      </c>
      <c r="C379" s="49">
        <v>22.0</v>
      </c>
      <c r="D379" s="65">
        <v>13.0</v>
      </c>
      <c r="E379" s="65">
        <v>31.0</v>
      </c>
      <c r="F379" s="27">
        <v>-2.636</v>
      </c>
      <c r="G379" s="27">
        <v>33.576</v>
      </c>
      <c r="H379" s="27">
        <v>37.258</v>
      </c>
      <c r="I379" s="27">
        <v>40.955</v>
      </c>
      <c r="J379" s="27">
        <v>54.561</v>
      </c>
    </row>
    <row r="380" ht="15.75" customHeight="1">
      <c r="B380" s="10" t="s">
        <v>762</v>
      </c>
      <c r="C380" s="49">
        <v>36.0</v>
      </c>
      <c r="D380" s="65">
        <v>13.0</v>
      </c>
      <c r="E380" s="65">
        <v>20.0</v>
      </c>
      <c r="F380" s="27">
        <v>10.546</v>
      </c>
      <c r="G380" s="27">
        <v>32.722</v>
      </c>
      <c r="H380" s="27">
        <v>36.556</v>
      </c>
      <c r="I380" s="27">
        <v>37.537</v>
      </c>
      <c r="J380" s="27">
        <v>46.241</v>
      </c>
    </row>
    <row r="381" ht="15.75" customHeight="1">
      <c r="B381" s="10" t="s">
        <v>763</v>
      </c>
      <c r="C381" s="49">
        <v>48.0</v>
      </c>
      <c r="D381" s="65">
        <v>11.0</v>
      </c>
      <c r="E381" s="65">
        <v>2.0</v>
      </c>
      <c r="F381" s="27">
        <v>-2.937</v>
      </c>
      <c r="G381" s="27">
        <v>0.972</v>
      </c>
      <c r="H381" s="27">
        <v>-3.09</v>
      </c>
      <c r="I381" s="27">
        <v>-1.917</v>
      </c>
      <c r="J381" s="27">
        <v>-3.632</v>
      </c>
    </row>
    <row r="382" ht="15.75" customHeight="1">
      <c r="B382" s="10" t="s">
        <v>764</v>
      </c>
      <c r="C382" s="49">
        <v>20.0</v>
      </c>
      <c r="D382" s="65">
        <v>15.0</v>
      </c>
      <c r="E382" s="65">
        <v>22.0</v>
      </c>
      <c r="F382" s="27">
        <v>-4.883</v>
      </c>
      <c r="G382" s="27">
        <v>11.15</v>
      </c>
      <c r="H382" s="27">
        <v>15.067</v>
      </c>
      <c r="I382" s="27">
        <v>20.45</v>
      </c>
      <c r="J382" s="27">
        <v>24.633</v>
      </c>
    </row>
    <row r="383" ht="15.75" customHeight="1">
      <c r="B383" s="10" t="s">
        <v>765</v>
      </c>
      <c r="C383" s="49">
        <v>32.0</v>
      </c>
      <c r="D383" s="65">
        <v>17.0</v>
      </c>
      <c r="E383" s="65">
        <v>17.0</v>
      </c>
      <c r="F383" s="27">
        <v>11.854</v>
      </c>
      <c r="G383" s="27">
        <v>25.312</v>
      </c>
      <c r="H383" s="27">
        <v>34.208</v>
      </c>
      <c r="I383" s="27">
        <v>41.24</v>
      </c>
      <c r="J383" s="27">
        <v>42.406</v>
      </c>
    </row>
    <row r="384" ht="15.75" customHeight="1">
      <c r="B384" s="10" t="s">
        <v>766</v>
      </c>
      <c r="C384" s="49">
        <v>23.0</v>
      </c>
      <c r="D384" s="65">
        <v>34.0</v>
      </c>
      <c r="E384" s="65">
        <v>32.0</v>
      </c>
      <c r="F384" s="27">
        <v>-6.652</v>
      </c>
      <c r="G384" s="27">
        <v>1.609</v>
      </c>
      <c r="H384" s="27">
        <v>21.71</v>
      </c>
      <c r="I384" s="27">
        <v>26.478</v>
      </c>
      <c r="J384" s="27">
        <v>36.391</v>
      </c>
    </row>
    <row r="385" ht="15.75" customHeight="1">
      <c r="B385" s="10" t="s">
        <v>767</v>
      </c>
      <c r="C385" s="49">
        <v>49.0</v>
      </c>
      <c r="D385" s="65">
        <v>15.0</v>
      </c>
      <c r="E385" s="65">
        <v>11.0</v>
      </c>
      <c r="F385" s="27">
        <v>19.313</v>
      </c>
      <c r="G385" s="27">
        <v>32.694</v>
      </c>
      <c r="H385" s="27">
        <v>30.279</v>
      </c>
      <c r="I385" s="27">
        <v>26.503</v>
      </c>
      <c r="J385" s="27">
        <v>31.952</v>
      </c>
    </row>
    <row r="386" ht="15.75" customHeight="1">
      <c r="B386" s="10" t="s">
        <v>768</v>
      </c>
      <c r="C386" s="49">
        <v>57.0</v>
      </c>
      <c r="D386" s="65">
        <v>10.0</v>
      </c>
      <c r="E386" s="65">
        <v>3.0</v>
      </c>
      <c r="F386" s="27">
        <v>5.579</v>
      </c>
      <c r="G386" s="27">
        <v>8.368</v>
      </c>
      <c r="H386" s="27">
        <v>6.906</v>
      </c>
      <c r="I386" s="27">
        <v>7.351</v>
      </c>
      <c r="J386" s="27">
        <v>2.526</v>
      </c>
    </row>
    <row r="387" ht="15.75" customHeight="1">
      <c r="B387" s="10" t="s">
        <v>769</v>
      </c>
      <c r="C387" s="49">
        <v>30.0</v>
      </c>
      <c r="D387" s="65">
        <v>13.0</v>
      </c>
      <c r="E387" s="65">
        <v>10.0</v>
      </c>
      <c r="F387" s="27">
        <v>9.256</v>
      </c>
      <c r="G387" s="27">
        <v>22.9</v>
      </c>
      <c r="H387" s="27">
        <v>22.511</v>
      </c>
      <c r="I387" s="27">
        <v>22.011</v>
      </c>
      <c r="J387" s="27">
        <v>24.511</v>
      </c>
    </row>
    <row r="388" ht="15.75" customHeight="1">
      <c r="B388" s="10" t="s">
        <v>770</v>
      </c>
      <c r="C388" s="49">
        <v>27.0</v>
      </c>
      <c r="D388" s="65">
        <v>30.0</v>
      </c>
      <c r="E388" s="65">
        <v>30.0</v>
      </c>
      <c r="F388" s="27">
        <v>-8.099</v>
      </c>
      <c r="G388" s="27">
        <v>-6.469</v>
      </c>
      <c r="H388" s="27">
        <v>-4.988</v>
      </c>
      <c r="I388" s="27">
        <v>10.481</v>
      </c>
      <c r="J388" s="27">
        <v>10.704</v>
      </c>
    </row>
    <row r="389" ht="15.75" customHeight="1">
      <c r="B389" s="10" t="s">
        <v>771</v>
      </c>
      <c r="C389" s="49">
        <v>27.0</v>
      </c>
      <c r="D389" s="65">
        <v>41.0</v>
      </c>
      <c r="E389" s="65">
        <v>36.0</v>
      </c>
      <c r="F389" s="27">
        <v>10.259</v>
      </c>
      <c r="G389" s="27">
        <v>15.272</v>
      </c>
      <c r="H389" s="27">
        <v>25.679</v>
      </c>
      <c r="I389" s="27">
        <v>29.444</v>
      </c>
      <c r="J389" s="27">
        <v>44.741</v>
      </c>
    </row>
    <row r="390" ht="15.75" customHeight="1">
      <c r="B390" s="10" t="s">
        <v>772</v>
      </c>
      <c r="C390" s="49">
        <v>20.0</v>
      </c>
      <c r="D390" s="65">
        <v>18.0</v>
      </c>
      <c r="E390" s="65">
        <v>41.0</v>
      </c>
      <c r="F390" s="27">
        <v>0.6</v>
      </c>
      <c r="G390" s="27">
        <v>15.4</v>
      </c>
      <c r="H390" s="27">
        <v>18.3</v>
      </c>
      <c r="I390" s="27">
        <v>17.85</v>
      </c>
      <c r="J390" s="27">
        <v>28.817</v>
      </c>
    </row>
    <row r="391" ht="15.75" customHeight="1">
      <c r="B391" s="10" t="s">
        <v>773</v>
      </c>
      <c r="C391" s="49">
        <v>27.0</v>
      </c>
      <c r="D391" s="65">
        <v>1.0</v>
      </c>
      <c r="E391" s="65">
        <v>10.0</v>
      </c>
      <c r="F391" s="27">
        <v>-3.037</v>
      </c>
      <c r="G391" s="27">
        <v>0.099</v>
      </c>
      <c r="H391" s="27">
        <v>-1.346</v>
      </c>
      <c r="I391" s="27">
        <v>-1.037</v>
      </c>
      <c r="J391" s="27">
        <v>-5.173</v>
      </c>
    </row>
    <row r="392" ht="15.75" customHeight="1">
      <c r="B392" s="10" t="s">
        <v>774</v>
      </c>
      <c r="C392" s="49">
        <v>49.0</v>
      </c>
      <c r="D392" s="65">
        <v>9.0</v>
      </c>
      <c r="E392" s="65">
        <v>22.0</v>
      </c>
      <c r="F392" s="27">
        <v>28.374</v>
      </c>
      <c r="G392" s="27">
        <v>34.068</v>
      </c>
      <c r="H392" s="27">
        <v>39.116</v>
      </c>
      <c r="I392" s="27">
        <v>43.497</v>
      </c>
      <c r="J392" s="27">
        <v>51.626</v>
      </c>
    </row>
    <row r="393" ht="15.75" customHeight="1">
      <c r="B393" s="10" t="s">
        <v>775</v>
      </c>
      <c r="C393" s="49">
        <v>59.0</v>
      </c>
      <c r="D393" s="65">
        <v>9.0</v>
      </c>
      <c r="E393" s="65">
        <v>46.0</v>
      </c>
      <c r="F393" s="27">
        <v>16.056</v>
      </c>
      <c r="G393" s="27">
        <v>16.492</v>
      </c>
      <c r="H393" s="27">
        <v>16.627</v>
      </c>
      <c r="I393" s="27">
        <v>24.638</v>
      </c>
      <c r="J393" s="27">
        <v>33.373</v>
      </c>
    </row>
    <row r="394" ht="15.75" customHeight="1">
      <c r="B394" s="10" t="s">
        <v>776</v>
      </c>
      <c r="C394" s="49">
        <v>45.0</v>
      </c>
      <c r="D394" s="65">
        <v>16.0</v>
      </c>
      <c r="E394" s="65">
        <v>26.0</v>
      </c>
      <c r="F394" s="27">
        <v>19.659</v>
      </c>
      <c r="G394" s="27">
        <v>25.8</v>
      </c>
      <c r="H394" s="27">
        <v>31.859</v>
      </c>
      <c r="I394" s="27">
        <v>37.63</v>
      </c>
      <c r="J394" s="27">
        <v>41.726</v>
      </c>
    </row>
    <row r="395" ht="15.75" customHeight="1">
      <c r="B395" s="10" t="s">
        <v>777</v>
      </c>
      <c r="C395" s="49">
        <v>24.0</v>
      </c>
      <c r="D395" s="65">
        <v>21.0</v>
      </c>
      <c r="E395" s="65">
        <v>12.0</v>
      </c>
      <c r="F395" s="27">
        <v>0.306</v>
      </c>
      <c r="G395" s="27">
        <v>32.25</v>
      </c>
      <c r="H395" s="27">
        <v>41.792</v>
      </c>
      <c r="I395" s="27">
        <v>41.417</v>
      </c>
      <c r="J395" s="27">
        <v>34.542</v>
      </c>
    </row>
    <row r="396" ht="15.75" customHeight="1">
      <c r="B396" s="10" t="s">
        <v>778</v>
      </c>
      <c r="C396" s="49">
        <v>169.0</v>
      </c>
      <c r="D396" s="65">
        <v>11.0</v>
      </c>
      <c r="E396" s="65">
        <v>8.0</v>
      </c>
      <c r="F396" s="27">
        <v>27.765</v>
      </c>
      <c r="G396" s="27">
        <v>33.065</v>
      </c>
      <c r="H396" s="27">
        <v>35.41</v>
      </c>
      <c r="I396" s="27">
        <v>34.152</v>
      </c>
      <c r="J396" s="27">
        <v>33.615</v>
      </c>
    </row>
    <row r="397" ht="15.75" customHeight="1">
      <c r="B397" s="10" t="s">
        <v>779</v>
      </c>
      <c r="C397" s="49">
        <v>64.0</v>
      </c>
      <c r="D397" s="65">
        <v>16.0</v>
      </c>
      <c r="E397" s="65">
        <v>16.0</v>
      </c>
      <c r="F397" s="27">
        <v>17.708</v>
      </c>
      <c r="G397" s="27">
        <v>23.094</v>
      </c>
      <c r="H397" s="27">
        <v>27.016</v>
      </c>
      <c r="I397" s="27">
        <v>26.833</v>
      </c>
      <c r="J397" s="27">
        <v>31.24</v>
      </c>
    </row>
    <row r="398" ht="15.75" customHeight="1">
      <c r="B398" s="10" t="s">
        <v>780</v>
      </c>
      <c r="C398" s="49">
        <v>25.0</v>
      </c>
      <c r="D398" s="65">
        <v>10.0</v>
      </c>
      <c r="E398" s="65">
        <v>5.0</v>
      </c>
      <c r="F398" s="27">
        <v>7.307</v>
      </c>
      <c r="G398" s="27">
        <v>9.133</v>
      </c>
      <c r="H398" s="27">
        <v>8.387</v>
      </c>
      <c r="I398" s="27">
        <v>7.427</v>
      </c>
      <c r="J398" s="27">
        <v>-1.173</v>
      </c>
    </row>
    <row r="399" ht="15.75" customHeight="1">
      <c r="B399" s="10" t="s">
        <v>781</v>
      </c>
      <c r="C399" s="49">
        <v>22.0</v>
      </c>
      <c r="D399" s="65">
        <v>45.0</v>
      </c>
      <c r="E399" s="65">
        <v>41.0</v>
      </c>
      <c r="F399" s="27">
        <v>-1.909</v>
      </c>
      <c r="G399" s="27">
        <v>3.015</v>
      </c>
      <c r="H399" s="27">
        <v>9.53</v>
      </c>
      <c r="I399" s="27">
        <v>19.773</v>
      </c>
      <c r="J399" s="27">
        <v>33.894</v>
      </c>
    </row>
    <row r="400" ht="15.75" customHeight="1">
      <c r="B400" s="10" t="s">
        <v>782</v>
      </c>
      <c r="C400" s="49">
        <v>25.0</v>
      </c>
      <c r="D400" s="65">
        <v>20.0</v>
      </c>
      <c r="E400" s="65">
        <v>20.0</v>
      </c>
      <c r="F400" s="27">
        <v>9.573</v>
      </c>
      <c r="G400" s="27">
        <v>7.92</v>
      </c>
      <c r="H400" s="27">
        <v>15.947</v>
      </c>
      <c r="I400" s="27">
        <v>11.147</v>
      </c>
      <c r="J400" s="27">
        <v>19.627</v>
      </c>
    </row>
    <row r="401" ht="15.75" customHeight="1">
      <c r="B401" s="10" t="s">
        <v>783</v>
      </c>
      <c r="C401" s="49">
        <v>42.0</v>
      </c>
      <c r="D401" s="65">
        <v>23.0</v>
      </c>
      <c r="E401" s="65">
        <v>22.0</v>
      </c>
      <c r="F401" s="27">
        <v>2.873</v>
      </c>
      <c r="G401" s="27">
        <v>23.683</v>
      </c>
      <c r="H401" s="27">
        <v>26.008</v>
      </c>
      <c r="I401" s="27">
        <v>33.254</v>
      </c>
      <c r="J401" s="27">
        <v>36.595</v>
      </c>
    </row>
    <row r="402" ht="15.75" customHeight="1">
      <c r="B402" s="10" t="s">
        <v>784</v>
      </c>
      <c r="C402" s="49">
        <v>21.0</v>
      </c>
      <c r="D402" s="65">
        <v>13.0</v>
      </c>
      <c r="E402" s="65">
        <v>13.0</v>
      </c>
      <c r="F402" s="27">
        <v>-2.317</v>
      </c>
      <c r="G402" s="27">
        <v>28.048</v>
      </c>
      <c r="H402" s="27">
        <v>31.349</v>
      </c>
      <c r="I402" s="27">
        <v>30.206</v>
      </c>
      <c r="J402" s="27">
        <v>24.254</v>
      </c>
    </row>
    <row r="403" ht="15.75" customHeight="1">
      <c r="B403" s="10" t="s">
        <v>785</v>
      </c>
      <c r="C403" s="49">
        <v>24.0</v>
      </c>
      <c r="D403" s="65">
        <v>19.0</v>
      </c>
      <c r="E403" s="65">
        <v>19.0</v>
      </c>
      <c r="F403" s="27">
        <v>3.75</v>
      </c>
      <c r="G403" s="27">
        <v>10.792</v>
      </c>
      <c r="H403" s="27">
        <v>40.472</v>
      </c>
      <c r="I403" s="27">
        <v>40.347</v>
      </c>
      <c r="J403" s="27">
        <v>43.208</v>
      </c>
    </row>
    <row r="404" ht="15.75" customHeight="1">
      <c r="B404" s="10" t="s">
        <v>786</v>
      </c>
      <c r="C404" s="49">
        <v>20.0</v>
      </c>
      <c r="D404" s="65">
        <v>41.0</v>
      </c>
      <c r="E404" s="65">
        <v>38.0</v>
      </c>
      <c r="F404" s="27">
        <v>3.967</v>
      </c>
      <c r="G404" s="27">
        <v>26.7</v>
      </c>
      <c r="H404" s="27">
        <v>30.967</v>
      </c>
      <c r="I404" s="27">
        <v>40.983</v>
      </c>
      <c r="J404" s="27">
        <v>58.583</v>
      </c>
    </row>
    <row r="405" ht="15.75" customHeight="1">
      <c r="B405" s="10" t="s">
        <v>787</v>
      </c>
      <c r="C405" s="49">
        <v>20.0</v>
      </c>
      <c r="D405" s="65">
        <v>25.0</v>
      </c>
      <c r="E405" s="65">
        <v>19.0</v>
      </c>
      <c r="F405" s="27">
        <v>1.167</v>
      </c>
      <c r="G405" s="27">
        <v>5.083</v>
      </c>
      <c r="H405" s="27">
        <v>22.517</v>
      </c>
      <c r="I405" s="27">
        <v>24.65</v>
      </c>
      <c r="J405" s="27">
        <v>20.4</v>
      </c>
    </row>
    <row r="406" ht="15.75" customHeight="1">
      <c r="B406" s="10" t="s">
        <v>788</v>
      </c>
      <c r="C406" s="49">
        <v>108.0</v>
      </c>
      <c r="D406" s="65">
        <v>22.0</v>
      </c>
      <c r="E406" s="65">
        <v>21.0</v>
      </c>
      <c r="F406" s="27">
        <v>3.386</v>
      </c>
      <c r="G406" s="27">
        <v>16.608</v>
      </c>
      <c r="H406" s="27">
        <v>25.923</v>
      </c>
      <c r="I406" s="27">
        <v>28.056</v>
      </c>
      <c r="J406" s="27">
        <v>31.941</v>
      </c>
    </row>
    <row r="407" ht="15.75" customHeight="1">
      <c r="B407" s="10" t="s">
        <v>789</v>
      </c>
      <c r="C407" s="49">
        <v>27.0</v>
      </c>
      <c r="D407" s="65">
        <v>24.0</v>
      </c>
      <c r="E407" s="65">
        <v>20.0</v>
      </c>
      <c r="F407" s="27">
        <v>16.333</v>
      </c>
      <c r="G407" s="27">
        <v>33.58</v>
      </c>
      <c r="H407" s="27">
        <v>44.432</v>
      </c>
      <c r="I407" s="27">
        <v>48.617</v>
      </c>
      <c r="J407" s="27">
        <v>50.84</v>
      </c>
    </row>
    <row r="408" ht="15.75" customHeight="1">
      <c r="B408" s="10" t="s">
        <v>790</v>
      </c>
      <c r="C408" s="49">
        <v>34.0</v>
      </c>
      <c r="D408" s="65">
        <v>34.0</v>
      </c>
      <c r="E408" s="65">
        <v>42.0</v>
      </c>
      <c r="F408" s="27">
        <v>0.745</v>
      </c>
      <c r="G408" s="27">
        <v>1.245</v>
      </c>
      <c r="H408" s="27">
        <v>-0.451</v>
      </c>
      <c r="I408" s="27">
        <v>11.706</v>
      </c>
      <c r="J408" s="27">
        <v>26.225</v>
      </c>
    </row>
    <row r="409" ht="15.75" customHeight="1">
      <c r="B409" s="10" t="s">
        <v>791</v>
      </c>
      <c r="C409" s="49">
        <v>26.0</v>
      </c>
      <c r="D409" s="65">
        <v>44.0</v>
      </c>
      <c r="E409" s="65">
        <v>41.0</v>
      </c>
      <c r="F409" s="27">
        <v>0.923</v>
      </c>
      <c r="G409" s="27">
        <v>3.936</v>
      </c>
      <c r="H409" s="27">
        <v>3.397</v>
      </c>
      <c r="I409" s="27">
        <v>2.026</v>
      </c>
      <c r="J409" s="27">
        <v>23.09</v>
      </c>
    </row>
    <row r="410" ht="15.75" customHeight="1">
      <c r="B410" s="10" t="s">
        <v>792</v>
      </c>
      <c r="C410" s="49">
        <v>51.0</v>
      </c>
      <c r="D410" s="65">
        <v>14.0</v>
      </c>
      <c r="E410" s="65">
        <v>14.0</v>
      </c>
      <c r="F410" s="27">
        <v>31.261</v>
      </c>
      <c r="G410" s="27">
        <v>50.144</v>
      </c>
      <c r="H410" s="27">
        <v>51.503</v>
      </c>
      <c r="I410" s="27">
        <v>55.111</v>
      </c>
      <c r="J410" s="27">
        <v>56.17</v>
      </c>
    </row>
    <row r="411" ht="15.75" customHeight="1">
      <c r="B411" s="10" t="s">
        <v>793</v>
      </c>
      <c r="C411" s="49">
        <v>64.0</v>
      </c>
      <c r="D411" s="65">
        <v>12.0</v>
      </c>
      <c r="E411" s="65">
        <v>21.0</v>
      </c>
      <c r="F411" s="27">
        <v>23.052</v>
      </c>
      <c r="G411" s="27">
        <v>37.656</v>
      </c>
      <c r="H411" s="27">
        <v>43.255</v>
      </c>
      <c r="I411" s="27">
        <v>44.823</v>
      </c>
      <c r="J411" s="27">
        <v>53.885</v>
      </c>
    </row>
    <row r="412" ht="15.75" customHeight="1">
      <c r="B412" s="10" t="s">
        <v>794</v>
      </c>
      <c r="C412" s="49">
        <v>24.0</v>
      </c>
      <c r="D412" s="65">
        <v>15.0</v>
      </c>
      <c r="E412" s="65">
        <v>8.0</v>
      </c>
      <c r="F412" s="27">
        <v>3.75</v>
      </c>
      <c r="G412" s="27">
        <v>15.806</v>
      </c>
      <c r="H412" s="27">
        <v>20.306</v>
      </c>
      <c r="I412" s="27">
        <v>19.681</v>
      </c>
      <c r="J412" s="27">
        <v>13.847</v>
      </c>
    </row>
    <row r="413" ht="15.75" customHeight="1">
      <c r="B413" s="10" t="s">
        <v>795</v>
      </c>
      <c r="C413" s="49">
        <v>41.0</v>
      </c>
      <c r="D413" s="65">
        <v>17.0</v>
      </c>
      <c r="E413" s="65">
        <v>12.0</v>
      </c>
      <c r="F413" s="27">
        <v>14.098</v>
      </c>
      <c r="G413" s="27">
        <v>23.008</v>
      </c>
      <c r="H413" s="27">
        <v>28.171</v>
      </c>
      <c r="I413" s="27">
        <v>33.455</v>
      </c>
      <c r="J413" s="27">
        <v>32.309</v>
      </c>
    </row>
    <row r="414" ht="15.75" customHeight="1">
      <c r="B414" s="10" t="s">
        <v>796</v>
      </c>
      <c r="C414" s="49">
        <v>22.0</v>
      </c>
      <c r="D414" s="65">
        <v>10.0</v>
      </c>
      <c r="E414" s="65">
        <v>58.0</v>
      </c>
      <c r="F414" s="27">
        <v>9.621</v>
      </c>
      <c r="G414" s="27">
        <v>16.167</v>
      </c>
      <c r="H414" s="27">
        <v>13.97</v>
      </c>
      <c r="I414" s="27">
        <v>11.288</v>
      </c>
      <c r="J414" s="27">
        <v>45.955</v>
      </c>
    </row>
    <row r="415" ht="15.75" customHeight="1">
      <c r="B415" s="10" t="s">
        <v>797</v>
      </c>
      <c r="C415" s="49">
        <v>25.0</v>
      </c>
      <c r="D415" s="65">
        <v>15.0</v>
      </c>
      <c r="E415" s="65">
        <v>9.0</v>
      </c>
      <c r="F415" s="27">
        <v>-2.853</v>
      </c>
      <c r="G415" s="27">
        <v>1.453</v>
      </c>
      <c r="H415" s="27">
        <v>5.867</v>
      </c>
      <c r="I415" s="27">
        <v>1.187</v>
      </c>
      <c r="J415" s="27">
        <v>-3.413</v>
      </c>
    </row>
    <row r="416" ht="15.75" customHeight="1">
      <c r="B416" s="10" t="s">
        <v>798</v>
      </c>
      <c r="C416" s="49">
        <v>23.0</v>
      </c>
      <c r="D416" s="65">
        <v>9.0</v>
      </c>
      <c r="E416" s="65">
        <v>55.0</v>
      </c>
      <c r="F416" s="27">
        <v>-3.565</v>
      </c>
      <c r="G416" s="27">
        <v>1.623</v>
      </c>
      <c r="H416" s="27">
        <v>1.116</v>
      </c>
      <c r="I416" s="27">
        <v>-1.058</v>
      </c>
      <c r="J416" s="27">
        <v>17.348</v>
      </c>
    </row>
    <row r="417" ht="15.75" customHeight="1">
      <c r="B417" s="10" t="s">
        <v>799</v>
      </c>
      <c r="C417" s="49">
        <v>28.0</v>
      </c>
      <c r="D417" s="65">
        <v>10.0</v>
      </c>
      <c r="E417" s="65">
        <v>32.0</v>
      </c>
      <c r="F417" s="27">
        <v>5.655</v>
      </c>
      <c r="G417" s="27">
        <v>19.214</v>
      </c>
      <c r="H417" s="27">
        <v>19.619</v>
      </c>
      <c r="I417" s="27">
        <v>27.286</v>
      </c>
      <c r="J417" s="27">
        <v>44.119</v>
      </c>
    </row>
    <row r="418" ht="15.75" customHeight="1"/>
    <row r="419" ht="21.75" customHeight="1">
      <c r="B419" s="3" t="s">
        <v>800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ht="15.75" customHeight="1"/>
    <row r="421" ht="30.0" customHeight="1">
      <c r="B421" s="6" t="s">
        <v>210</v>
      </c>
      <c r="C421" s="6" t="s">
        <v>161</v>
      </c>
      <c r="D421" s="6" t="s">
        <v>329</v>
      </c>
      <c r="E421" s="6" t="s">
        <v>330</v>
      </c>
      <c r="F421" s="6" t="s">
        <v>344</v>
      </c>
      <c r="G421" s="6" t="s">
        <v>332</v>
      </c>
      <c r="H421" s="6" t="s">
        <v>333</v>
      </c>
      <c r="I421" s="6" t="s">
        <v>334</v>
      </c>
      <c r="J421" s="6" t="s">
        <v>335</v>
      </c>
      <c r="K421" s="6" t="s">
        <v>336</v>
      </c>
    </row>
    <row r="422" ht="15.75" customHeight="1">
      <c r="B422" s="10" t="s">
        <v>456</v>
      </c>
      <c r="C422" s="10" t="s">
        <v>169</v>
      </c>
      <c r="D422" s="49">
        <v>15.0</v>
      </c>
      <c r="E422" s="65">
        <v>9.0</v>
      </c>
      <c r="F422" s="65">
        <v>38.0</v>
      </c>
      <c r="G422" s="27">
        <v>7.262</v>
      </c>
      <c r="H422" s="27">
        <v>14.286</v>
      </c>
      <c r="I422" s="27">
        <v>12.786</v>
      </c>
      <c r="J422" s="27">
        <v>28.19</v>
      </c>
      <c r="K422" s="27">
        <v>59.214</v>
      </c>
    </row>
    <row r="423" ht="15.75" customHeight="1">
      <c r="B423" s="10" t="s">
        <v>457</v>
      </c>
      <c r="C423" s="10" t="s">
        <v>181</v>
      </c>
      <c r="D423" s="49">
        <v>13.0</v>
      </c>
      <c r="E423" s="65">
        <v>13.0</v>
      </c>
      <c r="F423" s="65">
        <v>25.0</v>
      </c>
      <c r="G423" s="27">
        <v>19.282</v>
      </c>
      <c r="H423" s="27">
        <v>54.872</v>
      </c>
      <c r="I423" s="27">
        <v>54.154</v>
      </c>
      <c r="J423" s="27">
        <v>62.59</v>
      </c>
      <c r="K423" s="27">
        <v>80.154</v>
      </c>
    </row>
    <row r="424" ht="15.75" customHeight="1">
      <c r="B424" s="10" t="s">
        <v>458</v>
      </c>
      <c r="C424" s="10" t="s">
        <v>181</v>
      </c>
      <c r="D424" s="49">
        <v>10.0</v>
      </c>
      <c r="E424" s="65">
        <v>4.0</v>
      </c>
      <c r="F424" s="65">
        <v>4.0</v>
      </c>
      <c r="G424" s="27">
        <v>40.074</v>
      </c>
      <c r="H424" s="27">
        <v>39.037</v>
      </c>
      <c r="I424" s="27">
        <v>51.37</v>
      </c>
      <c r="J424" s="27">
        <v>50.37</v>
      </c>
      <c r="K424" s="27">
        <v>47.037</v>
      </c>
    </row>
    <row r="425" ht="15.75" customHeight="1">
      <c r="B425" s="10" t="s">
        <v>459</v>
      </c>
      <c r="C425" s="10" t="s">
        <v>172</v>
      </c>
      <c r="D425" s="49">
        <v>16.0</v>
      </c>
      <c r="E425" s="65">
        <v>17.0</v>
      </c>
      <c r="F425" s="65">
        <v>17.0</v>
      </c>
      <c r="G425" s="27">
        <v>47.854</v>
      </c>
      <c r="H425" s="27">
        <v>46.965</v>
      </c>
      <c r="I425" s="27">
        <v>64.59</v>
      </c>
      <c r="J425" s="27">
        <v>73.2</v>
      </c>
      <c r="K425" s="27">
        <v>80.921</v>
      </c>
    </row>
    <row r="426" ht="15.75" customHeight="1">
      <c r="B426" s="10" t="s">
        <v>460</v>
      </c>
      <c r="C426" s="10" t="s">
        <v>169</v>
      </c>
      <c r="D426" s="49">
        <v>33.0</v>
      </c>
      <c r="E426" s="65">
        <v>16.0</v>
      </c>
      <c r="F426" s="65">
        <v>15.0</v>
      </c>
      <c r="G426" s="27">
        <v>33.177</v>
      </c>
      <c r="H426" s="27">
        <v>66.104</v>
      </c>
      <c r="I426" s="27">
        <v>77.01</v>
      </c>
      <c r="J426" s="27">
        <v>84.229</v>
      </c>
      <c r="K426" s="27">
        <v>87.573</v>
      </c>
    </row>
    <row r="427" ht="15.75" customHeight="1">
      <c r="B427" s="10" t="s">
        <v>461</v>
      </c>
      <c r="C427" s="10" t="s">
        <v>172</v>
      </c>
      <c r="D427" s="49">
        <v>10.0</v>
      </c>
      <c r="E427" s="65">
        <v>24.0</v>
      </c>
      <c r="F427" s="65">
        <v>24.0</v>
      </c>
      <c r="G427" s="27">
        <v>-15.233</v>
      </c>
      <c r="H427" s="27">
        <v>-5.233</v>
      </c>
      <c r="I427" s="27">
        <v>17.167</v>
      </c>
      <c r="J427" s="27">
        <v>27.567</v>
      </c>
      <c r="K427" s="27">
        <v>34.767</v>
      </c>
    </row>
    <row r="428" ht="15.75" customHeight="1">
      <c r="B428" s="10" t="s">
        <v>462</v>
      </c>
      <c r="C428" s="10" t="s">
        <v>176</v>
      </c>
      <c r="D428" s="49">
        <v>10.0</v>
      </c>
      <c r="E428" s="65">
        <v>25.0</v>
      </c>
      <c r="F428" s="65">
        <v>25.0</v>
      </c>
      <c r="G428" s="27">
        <v>-3.033</v>
      </c>
      <c r="H428" s="27">
        <v>19.233</v>
      </c>
      <c r="I428" s="27">
        <v>29.833</v>
      </c>
      <c r="J428" s="27">
        <v>40.5</v>
      </c>
      <c r="K428" s="27">
        <v>49.333</v>
      </c>
    </row>
    <row r="429" ht="15.75" customHeight="1">
      <c r="B429" s="10" t="s">
        <v>463</v>
      </c>
      <c r="C429" s="10" t="s">
        <v>179</v>
      </c>
      <c r="D429" s="49">
        <v>19.0</v>
      </c>
      <c r="E429" s="65">
        <v>19.0</v>
      </c>
      <c r="F429" s="65">
        <v>13.0</v>
      </c>
      <c r="G429" s="27">
        <v>29.877</v>
      </c>
      <c r="H429" s="27">
        <v>66.807</v>
      </c>
      <c r="I429" s="27">
        <v>79.053</v>
      </c>
      <c r="J429" s="27">
        <v>78.737</v>
      </c>
      <c r="K429" s="27">
        <v>84.298</v>
      </c>
    </row>
    <row r="430" ht="15.75" customHeight="1">
      <c r="B430" s="10" t="s">
        <v>464</v>
      </c>
      <c r="C430" s="10" t="s">
        <v>166</v>
      </c>
      <c r="D430" s="49">
        <v>17.0</v>
      </c>
      <c r="E430" s="65">
        <v>27.0</v>
      </c>
      <c r="F430" s="65">
        <v>27.0</v>
      </c>
      <c r="G430" s="27">
        <v>-5.902</v>
      </c>
      <c r="H430" s="27">
        <v>-7.824</v>
      </c>
      <c r="I430" s="27">
        <v>32.961</v>
      </c>
      <c r="J430" s="27">
        <v>67.49</v>
      </c>
      <c r="K430" s="27">
        <v>80.765</v>
      </c>
    </row>
    <row r="431" ht="15.75" customHeight="1">
      <c r="B431" s="10" t="s">
        <v>465</v>
      </c>
      <c r="C431" s="10" t="s">
        <v>171</v>
      </c>
      <c r="D431" s="49">
        <v>30.0</v>
      </c>
      <c r="E431" s="65">
        <v>31.0</v>
      </c>
      <c r="F431" s="65">
        <v>29.0</v>
      </c>
      <c r="G431" s="27">
        <v>9.089</v>
      </c>
      <c r="H431" s="27">
        <v>31.6</v>
      </c>
      <c r="I431" s="27">
        <v>46.589</v>
      </c>
      <c r="J431" s="27">
        <v>73.6</v>
      </c>
      <c r="K431" s="27">
        <v>76.589</v>
      </c>
    </row>
    <row r="432" ht="15.75" customHeight="1">
      <c r="B432" s="10" t="s">
        <v>467</v>
      </c>
      <c r="C432" s="10" t="s">
        <v>170</v>
      </c>
      <c r="D432" s="49">
        <v>12.0</v>
      </c>
      <c r="E432" s="65">
        <v>14.0</v>
      </c>
      <c r="F432" s="65">
        <v>14.0</v>
      </c>
      <c r="G432" s="27">
        <v>2.889</v>
      </c>
      <c r="H432" s="27">
        <v>69.045</v>
      </c>
      <c r="I432" s="27">
        <v>68.608</v>
      </c>
      <c r="J432" s="27">
        <v>79.389</v>
      </c>
      <c r="K432" s="27">
        <v>78.451</v>
      </c>
    </row>
    <row r="433" ht="15.75" customHeight="1">
      <c r="B433" s="10" t="s">
        <v>468</v>
      </c>
      <c r="C433" s="10" t="s">
        <v>469</v>
      </c>
      <c r="D433" s="49">
        <v>40.0</v>
      </c>
      <c r="E433" s="65">
        <v>17.0</v>
      </c>
      <c r="F433" s="65">
        <v>28.0</v>
      </c>
      <c r="G433" s="27">
        <v>33.292</v>
      </c>
      <c r="H433" s="27">
        <v>53.325</v>
      </c>
      <c r="I433" s="27">
        <v>64.683</v>
      </c>
      <c r="J433" s="27">
        <v>70.042</v>
      </c>
      <c r="K433" s="27">
        <v>87.342</v>
      </c>
    </row>
    <row r="434" ht="15.75" customHeight="1">
      <c r="B434" s="10" t="s">
        <v>472</v>
      </c>
      <c r="C434" s="10" t="s">
        <v>179</v>
      </c>
      <c r="D434" s="49">
        <v>22.0</v>
      </c>
      <c r="E434" s="65">
        <v>23.0</v>
      </c>
      <c r="F434" s="65">
        <v>23.0</v>
      </c>
      <c r="G434" s="27">
        <v>5.697</v>
      </c>
      <c r="H434" s="27">
        <v>31.455</v>
      </c>
      <c r="I434" s="27">
        <v>46.803</v>
      </c>
      <c r="J434" s="27">
        <v>78.939</v>
      </c>
      <c r="K434" s="27">
        <v>83.864</v>
      </c>
    </row>
    <row r="435" ht="15.75" customHeight="1">
      <c r="B435" s="10" t="s">
        <v>474</v>
      </c>
      <c r="C435" s="10" t="s">
        <v>174</v>
      </c>
      <c r="D435" s="49">
        <v>17.0</v>
      </c>
      <c r="E435" s="65">
        <v>13.0</v>
      </c>
      <c r="F435" s="65">
        <v>12.0</v>
      </c>
      <c r="G435" s="27">
        <v>1.819</v>
      </c>
      <c r="H435" s="27">
        <v>30.727</v>
      </c>
      <c r="I435" s="27">
        <v>29.544</v>
      </c>
      <c r="J435" s="27">
        <v>28.024</v>
      </c>
      <c r="K435" s="27">
        <v>22.956</v>
      </c>
    </row>
    <row r="436" ht="15.75" customHeight="1">
      <c r="B436" s="10" t="s">
        <v>477</v>
      </c>
      <c r="C436" s="10" t="s">
        <v>181</v>
      </c>
      <c r="D436" s="49">
        <v>12.0</v>
      </c>
      <c r="E436" s="65">
        <v>18.0</v>
      </c>
      <c r="F436" s="65">
        <v>18.0</v>
      </c>
      <c r="G436" s="27">
        <v>13.139</v>
      </c>
      <c r="H436" s="27">
        <v>31.667</v>
      </c>
      <c r="I436" s="27">
        <v>70.861</v>
      </c>
      <c r="J436" s="27">
        <v>70.361</v>
      </c>
      <c r="K436" s="27">
        <v>88.861</v>
      </c>
    </row>
    <row r="437" ht="15.75" customHeight="1">
      <c r="B437" s="10" t="s">
        <v>478</v>
      </c>
      <c r="C437" s="10" t="s">
        <v>172</v>
      </c>
      <c r="D437" s="49">
        <v>10.0</v>
      </c>
      <c r="E437" s="65">
        <v>38.0</v>
      </c>
      <c r="F437" s="65">
        <v>32.0</v>
      </c>
      <c r="G437" s="27">
        <v>-15.133</v>
      </c>
      <c r="H437" s="27">
        <v>6.767</v>
      </c>
      <c r="I437" s="27">
        <v>29.333</v>
      </c>
      <c r="J437" s="27">
        <v>40.067</v>
      </c>
      <c r="K437" s="27">
        <v>61.733</v>
      </c>
    </row>
    <row r="438" ht="15.75" customHeight="1">
      <c r="B438" s="10" t="s">
        <v>479</v>
      </c>
      <c r="C438" s="10" t="s">
        <v>182</v>
      </c>
      <c r="D438" s="49">
        <v>10.0</v>
      </c>
      <c r="E438" s="65">
        <v>11.0</v>
      </c>
      <c r="F438" s="65">
        <v>47.0</v>
      </c>
      <c r="G438" s="27">
        <v>-15.267</v>
      </c>
      <c r="H438" s="27">
        <v>6.867</v>
      </c>
      <c r="I438" s="27">
        <v>17.233</v>
      </c>
      <c r="J438" s="27">
        <v>15.433</v>
      </c>
      <c r="K438" s="27">
        <v>59.667</v>
      </c>
    </row>
    <row r="439" ht="15.75" customHeight="1">
      <c r="B439" s="10" t="s">
        <v>485</v>
      </c>
      <c r="C439" s="10" t="s">
        <v>174</v>
      </c>
      <c r="D439" s="49">
        <v>10.0</v>
      </c>
      <c r="E439" s="65">
        <v>20.0</v>
      </c>
      <c r="F439" s="65">
        <v>40.0</v>
      </c>
      <c r="G439" s="27">
        <v>8.867</v>
      </c>
      <c r="H439" s="27">
        <v>19.267</v>
      </c>
      <c r="I439" s="27">
        <v>29.9</v>
      </c>
      <c r="J439" s="27">
        <v>40.4</v>
      </c>
      <c r="K439" s="27">
        <v>61.567</v>
      </c>
    </row>
    <row r="440" ht="15.75" customHeight="1">
      <c r="B440" s="10" t="s">
        <v>488</v>
      </c>
      <c r="C440" s="10" t="s">
        <v>166</v>
      </c>
      <c r="D440" s="49">
        <v>63.0</v>
      </c>
      <c r="E440" s="65">
        <v>15.0</v>
      </c>
      <c r="F440" s="65">
        <v>8.0</v>
      </c>
      <c r="G440" s="27">
        <v>65.111</v>
      </c>
      <c r="H440" s="27">
        <v>78.011</v>
      </c>
      <c r="I440" s="27">
        <v>81.587</v>
      </c>
      <c r="J440" s="27">
        <v>81.302</v>
      </c>
      <c r="K440" s="27">
        <v>84.175</v>
      </c>
    </row>
    <row r="441" ht="15.75" customHeight="1">
      <c r="B441" s="10" t="s">
        <v>489</v>
      </c>
      <c r="C441" s="10" t="s">
        <v>167</v>
      </c>
      <c r="D441" s="49">
        <v>19.0</v>
      </c>
      <c r="E441" s="65">
        <v>13.0</v>
      </c>
      <c r="F441" s="65">
        <v>13.0</v>
      </c>
      <c r="G441" s="27">
        <v>55.526</v>
      </c>
      <c r="H441" s="27">
        <v>77.066</v>
      </c>
      <c r="I441" s="27">
        <v>76.759</v>
      </c>
      <c r="J441" s="27">
        <v>76.364</v>
      </c>
      <c r="K441" s="27">
        <v>91.978</v>
      </c>
    </row>
    <row r="442" ht="15.75" customHeight="1">
      <c r="B442" s="10" t="s">
        <v>490</v>
      </c>
      <c r="C442" s="10" t="s">
        <v>182</v>
      </c>
      <c r="D442" s="49">
        <v>16.0</v>
      </c>
      <c r="E442" s="65">
        <v>19.0</v>
      </c>
      <c r="F442" s="65">
        <v>24.0</v>
      </c>
      <c r="G442" s="27">
        <v>25.646</v>
      </c>
      <c r="H442" s="27">
        <v>46.917</v>
      </c>
      <c r="I442" s="27">
        <v>61.208</v>
      </c>
      <c r="J442" s="27">
        <v>68.083</v>
      </c>
      <c r="K442" s="27">
        <v>82.271</v>
      </c>
    </row>
    <row r="443" ht="15.75" customHeight="1">
      <c r="B443" s="10" t="s">
        <v>491</v>
      </c>
      <c r="C443" s="10" t="s">
        <v>175</v>
      </c>
      <c r="D443" s="49">
        <v>12.0</v>
      </c>
      <c r="E443" s="65">
        <v>18.0</v>
      </c>
      <c r="F443" s="65">
        <v>34.0</v>
      </c>
      <c r="G443" s="27">
        <v>-5.455</v>
      </c>
      <c r="H443" s="27">
        <v>36.576</v>
      </c>
      <c r="I443" s="27">
        <v>46.515</v>
      </c>
      <c r="J443" s="27">
        <v>45.424</v>
      </c>
      <c r="K443" s="27">
        <v>65.061</v>
      </c>
    </row>
    <row r="444" ht="15.75" customHeight="1">
      <c r="B444" s="10" t="s">
        <v>492</v>
      </c>
      <c r="C444" s="10" t="s">
        <v>493</v>
      </c>
      <c r="D444" s="49">
        <v>12.0</v>
      </c>
      <c r="E444" s="65">
        <v>19.0</v>
      </c>
      <c r="F444" s="65">
        <v>18.0</v>
      </c>
      <c r="G444" s="27">
        <v>43.389</v>
      </c>
      <c r="H444" s="27">
        <v>62.556</v>
      </c>
      <c r="I444" s="27">
        <v>82.111</v>
      </c>
      <c r="J444" s="27">
        <v>81.861</v>
      </c>
      <c r="K444" s="27">
        <v>81.028</v>
      </c>
    </row>
    <row r="445" ht="15.75" customHeight="1">
      <c r="B445" s="10" t="s">
        <v>494</v>
      </c>
      <c r="C445" s="10" t="s">
        <v>183</v>
      </c>
      <c r="D445" s="49">
        <v>10.0</v>
      </c>
      <c r="E445" s="65">
        <v>26.0</v>
      </c>
      <c r="F445" s="65">
        <v>26.0</v>
      </c>
      <c r="G445" s="27">
        <v>38.262</v>
      </c>
      <c r="H445" s="27">
        <v>37.195</v>
      </c>
      <c r="I445" s="27">
        <v>63.557</v>
      </c>
      <c r="J445" s="27">
        <v>90.605</v>
      </c>
      <c r="K445" s="27">
        <v>90.605</v>
      </c>
    </row>
    <row r="446" ht="15.75" customHeight="1">
      <c r="B446" s="10" t="s">
        <v>495</v>
      </c>
      <c r="C446" s="10" t="s">
        <v>174</v>
      </c>
      <c r="D446" s="49">
        <v>16.0</v>
      </c>
      <c r="E446" s="65">
        <v>6.0</v>
      </c>
      <c r="F446" s="65">
        <v>55.0</v>
      </c>
      <c r="G446" s="27">
        <v>52.378</v>
      </c>
      <c r="H446" s="27">
        <v>51.578</v>
      </c>
      <c r="I446" s="27">
        <v>50.778</v>
      </c>
      <c r="J446" s="27">
        <v>49.749</v>
      </c>
      <c r="K446" s="27">
        <v>88.302</v>
      </c>
    </row>
    <row r="447" ht="15.75" customHeight="1">
      <c r="B447" s="10" t="s">
        <v>496</v>
      </c>
      <c r="C447" s="10" t="s">
        <v>172</v>
      </c>
      <c r="D447" s="49">
        <v>14.0</v>
      </c>
      <c r="E447" s="65">
        <v>18.0</v>
      </c>
      <c r="F447" s="65">
        <v>18.0</v>
      </c>
      <c r="G447" s="27">
        <v>15.905</v>
      </c>
      <c r="H447" s="27">
        <v>31.762</v>
      </c>
      <c r="I447" s="27">
        <v>47.952</v>
      </c>
      <c r="J447" s="27">
        <v>46.881</v>
      </c>
      <c r="K447" s="27">
        <v>64.651</v>
      </c>
    </row>
    <row r="448" ht="15.75" customHeight="1">
      <c r="B448" s="10" t="s">
        <v>497</v>
      </c>
      <c r="C448" s="10" t="s">
        <v>166</v>
      </c>
      <c r="D448" s="49">
        <v>30.0</v>
      </c>
      <c r="E448" s="65">
        <v>15.0</v>
      </c>
      <c r="F448" s="65">
        <v>15.0</v>
      </c>
      <c r="G448" s="27">
        <v>46.566</v>
      </c>
      <c r="H448" s="27">
        <v>63.438</v>
      </c>
      <c r="I448" s="27">
        <v>92.727</v>
      </c>
      <c r="J448" s="27">
        <v>92.727</v>
      </c>
      <c r="K448" s="27">
        <v>92.727</v>
      </c>
    </row>
    <row r="449" ht="15.75" customHeight="1">
      <c r="B449" s="10" t="s">
        <v>498</v>
      </c>
      <c r="C449" s="10" t="s">
        <v>185</v>
      </c>
      <c r="D449" s="49">
        <v>12.0</v>
      </c>
      <c r="E449" s="65">
        <v>6.0</v>
      </c>
      <c r="F449" s="65">
        <v>41.0</v>
      </c>
      <c r="G449" s="27">
        <v>23.083</v>
      </c>
      <c r="H449" s="27">
        <v>21.722</v>
      </c>
      <c r="I449" s="27">
        <v>30.5</v>
      </c>
      <c r="J449" s="27">
        <v>29.0</v>
      </c>
      <c r="K449" s="27">
        <v>66.333</v>
      </c>
    </row>
    <row r="450" ht="15.75" customHeight="1">
      <c r="B450" s="10" t="s">
        <v>500</v>
      </c>
      <c r="C450" s="10" t="s">
        <v>181</v>
      </c>
      <c r="D450" s="49">
        <v>23.0</v>
      </c>
      <c r="E450" s="65">
        <v>11.0</v>
      </c>
      <c r="F450" s="65">
        <v>11.0</v>
      </c>
      <c r="G450" s="27">
        <v>43.316</v>
      </c>
      <c r="H450" s="27">
        <v>64.897</v>
      </c>
      <c r="I450" s="27">
        <v>69.936</v>
      </c>
      <c r="J450" s="27">
        <v>69.38</v>
      </c>
      <c r="K450" s="27">
        <v>79.304</v>
      </c>
    </row>
    <row r="451" ht="15.75" customHeight="1">
      <c r="B451" s="10" t="s">
        <v>502</v>
      </c>
      <c r="C451" s="10" t="s">
        <v>171</v>
      </c>
      <c r="D451" s="49">
        <v>17.0</v>
      </c>
      <c r="E451" s="65">
        <v>20.0</v>
      </c>
      <c r="F451" s="65">
        <v>18.0</v>
      </c>
      <c r="G451" s="27">
        <v>36.725</v>
      </c>
      <c r="H451" s="27">
        <v>51.784</v>
      </c>
      <c r="I451" s="27">
        <v>81.42</v>
      </c>
      <c r="J451" s="27">
        <v>81.168</v>
      </c>
      <c r="K451" s="27">
        <v>80.328</v>
      </c>
    </row>
    <row r="452" ht="15.75" customHeight="1">
      <c r="B452" s="10" t="s">
        <v>503</v>
      </c>
      <c r="C452" s="10" t="s">
        <v>181</v>
      </c>
      <c r="D452" s="49">
        <v>13.0</v>
      </c>
      <c r="E452" s="65">
        <v>30.0</v>
      </c>
      <c r="F452" s="65">
        <v>26.0</v>
      </c>
      <c r="G452" s="27">
        <v>9.949</v>
      </c>
      <c r="H452" s="27">
        <v>27.0</v>
      </c>
      <c r="I452" s="27">
        <v>35.128</v>
      </c>
      <c r="J452" s="27">
        <v>71.103</v>
      </c>
      <c r="K452" s="27">
        <v>79.256</v>
      </c>
    </row>
    <row r="453" ht="15.75" customHeight="1">
      <c r="B453" s="10" t="s">
        <v>507</v>
      </c>
      <c r="C453" s="10" t="s">
        <v>166</v>
      </c>
      <c r="D453" s="49">
        <v>10.0</v>
      </c>
      <c r="E453" s="65">
        <v>57.0</v>
      </c>
      <c r="F453" s="65">
        <v>55.0</v>
      </c>
      <c r="G453" s="27">
        <v>-27.333</v>
      </c>
      <c r="H453" s="27">
        <v>-17.6</v>
      </c>
      <c r="I453" s="27">
        <v>-19.7</v>
      </c>
      <c r="J453" s="27">
        <v>-22.4</v>
      </c>
      <c r="K453" s="27">
        <v>64.214</v>
      </c>
    </row>
    <row r="454" ht="15.75" customHeight="1">
      <c r="B454" s="10" t="s">
        <v>509</v>
      </c>
      <c r="C454" s="10" t="s">
        <v>169</v>
      </c>
      <c r="D454" s="49">
        <v>11.0</v>
      </c>
      <c r="E454" s="65">
        <v>25.0</v>
      </c>
      <c r="F454" s="65">
        <v>25.0</v>
      </c>
      <c r="G454" s="27">
        <v>-5.394</v>
      </c>
      <c r="H454" s="27">
        <v>36.667</v>
      </c>
      <c r="I454" s="27">
        <v>46.667</v>
      </c>
      <c r="J454" s="27">
        <v>67.727</v>
      </c>
      <c r="K454" s="27">
        <v>88.273</v>
      </c>
    </row>
    <row r="455" ht="15.75" customHeight="1">
      <c r="B455" s="10" t="s">
        <v>510</v>
      </c>
      <c r="C455" s="10" t="s">
        <v>170</v>
      </c>
      <c r="D455" s="49">
        <v>10.0</v>
      </c>
      <c r="E455" s="65">
        <v>18.0</v>
      </c>
      <c r="F455" s="65">
        <v>14.0</v>
      </c>
      <c r="G455" s="27">
        <v>-15.2</v>
      </c>
      <c r="H455" s="27">
        <v>63.189</v>
      </c>
      <c r="I455" s="27">
        <v>76.761</v>
      </c>
      <c r="J455" s="27">
        <v>76.411</v>
      </c>
      <c r="K455" s="27">
        <v>75.244</v>
      </c>
    </row>
    <row r="456" ht="15.75" customHeight="1">
      <c r="B456" s="10" t="s">
        <v>512</v>
      </c>
      <c r="C456" s="10" t="s">
        <v>182</v>
      </c>
      <c r="D456" s="49">
        <v>11.0</v>
      </c>
      <c r="E456" s="65">
        <v>15.0</v>
      </c>
      <c r="F456" s="65">
        <v>15.0</v>
      </c>
      <c r="G456" s="27">
        <v>27.727</v>
      </c>
      <c r="H456" s="27">
        <v>37.455</v>
      </c>
      <c r="I456" s="27">
        <v>47.485</v>
      </c>
      <c r="J456" s="27">
        <v>46.394</v>
      </c>
      <c r="K456" s="27">
        <v>53.848</v>
      </c>
    </row>
    <row r="457" ht="15.75" customHeight="1">
      <c r="B457" s="10" t="s">
        <v>514</v>
      </c>
      <c r="C457" s="10" t="s">
        <v>166</v>
      </c>
      <c r="D457" s="49">
        <v>16.0</v>
      </c>
      <c r="E457" s="65">
        <v>9.0</v>
      </c>
      <c r="F457" s="65">
        <v>3.0</v>
      </c>
      <c r="G457" s="27">
        <v>64.042</v>
      </c>
      <c r="H457" s="27">
        <v>71.062</v>
      </c>
      <c r="I457" s="27">
        <v>70.625</v>
      </c>
      <c r="J457" s="27">
        <v>70.062</v>
      </c>
      <c r="K457" s="27">
        <v>68.188</v>
      </c>
    </row>
    <row r="458" ht="15.75" customHeight="1">
      <c r="B458" s="10" t="s">
        <v>515</v>
      </c>
      <c r="C458" s="10" t="s">
        <v>169</v>
      </c>
      <c r="D458" s="49">
        <v>10.0</v>
      </c>
      <c r="E458" s="65">
        <v>30.0</v>
      </c>
      <c r="F458" s="65">
        <v>30.0</v>
      </c>
      <c r="G458" s="27">
        <v>9.1</v>
      </c>
      <c r="H458" s="27">
        <v>43.767</v>
      </c>
      <c r="I458" s="27">
        <v>42.833</v>
      </c>
      <c r="J458" s="27">
        <v>77.833</v>
      </c>
      <c r="K458" s="27">
        <v>76.833</v>
      </c>
    </row>
    <row r="459" ht="15.75" customHeight="1">
      <c r="B459" s="10" t="s">
        <v>517</v>
      </c>
      <c r="C459" s="10" t="s">
        <v>166</v>
      </c>
      <c r="D459" s="49">
        <v>45.0</v>
      </c>
      <c r="E459" s="65">
        <v>13.0</v>
      </c>
      <c r="F459" s="65">
        <v>12.0</v>
      </c>
      <c r="G459" s="27">
        <v>33.182</v>
      </c>
      <c r="H459" s="27">
        <v>76.136</v>
      </c>
      <c r="I459" s="27">
        <v>84.053</v>
      </c>
      <c r="J459" s="27">
        <v>86.583</v>
      </c>
      <c r="K459" s="27">
        <v>89.068</v>
      </c>
    </row>
    <row r="460" ht="15.75" customHeight="1">
      <c r="B460" s="10" t="s">
        <v>518</v>
      </c>
      <c r="C460" s="10" t="s">
        <v>182</v>
      </c>
      <c r="D460" s="49">
        <v>10.0</v>
      </c>
      <c r="E460" s="65">
        <v>23.0</v>
      </c>
      <c r="F460" s="65">
        <v>20.0</v>
      </c>
      <c r="G460" s="27">
        <v>21.133</v>
      </c>
      <c r="H460" s="27">
        <v>63.413</v>
      </c>
      <c r="I460" s="27">
        <v>77.293</v>
      </c>
      <c r="J460" s="27">
        <v>91.613</v>
      </c>
      <c r="K460" s="27">
        <v>91.613</v>
      </c>
    </row>
    <row r="461" ht="15.75" customHeight="1">
      <c r="B461" s="10" t="s">
        <v>519</v>
      </c>
      <c r="C461" s="10" t="s">
        <v>236</v>
      </c>
      <c r="D461" s="49">
        <v>45.0</v>
      </c>
      <c r="E461" s="65">
        <v>21.0</v>
      </c>
      <c r="F461" s="65">
        <v>18.0</v>
      </c>
      <c r="G461" s="27">
        <v>34.644</v>
      </c>
      <c r="H461" s="27">
        <v>66.934</v>
      </c>
      <c r="I461" s="27">
        <v>89.311</v>
      </c>
      <c r="J461" s="27">
        <v>92.131</v>
      </c>
      <c r="K461" s="27">
        <v>92.131</v>
      </c>
    </row>
    <row r="462" ht="15.75" customHeight="1">
      <c r="B462" s="10" t="s">
        <v>522</v>
      </c>
      <c r="C462" s="10" t="s">
        <v>169</v>
      </c>
      <c r="D462" s="49">
        <v>19.0</v>
      </c>
      <c r="E462" s="65">
        <v>25.0</v>
      </c>
      <c r="F462" s="65">
        <v>20.0</v>
      </c>
      <c r="G462" s="27">
        <v>17.158</v>
      </c>
      <c r="H462" s="27">
        <v>43.359</v>
      </c>
      <c r="I462" s="27">
        <v>49.33</v>
      </c>
      <c r="J462" s="27">
        <v>69.33</v>
      </c>
      <c r="K462" s="27">
        <v>67.608</v>
      </c>
    </row>
    <row r="463" ht="15.75" customHeight="1">
      <c r="B463" s="10" t="s">
        <v>525</v>
      </c>
      <c r="C463" s="10" t="s">
        <v>179</v>
      </c>
      <c r="D463" s="49">
        <v>47.0</v>
      </c>
      <c r="E463" s="65">
        <v>10.0</v>
      </c>
      <c r="F463" s="65">
        <v>15.0</v>
      </c>
      <c r="G463" s="27">
        <v>47.454</v>
      </c>
      <c r="H463" s="27">
        <v>69.816</v>
      </c>
      <c r="I463" s="27">
        <v>82.234</v>
      </c>
      <c r="J463" s="27">
        <v>92.291</v>
      </c>
      <c r="K463" s="27">
        <v>92.291</v>
      </c>
    </row>
    <row r="464" ht="15.75" customHeight="1">
      <c r="B464" s="10" t="s">
        <v>526</v>
      </c>
      <c r="C464" s="10" t="s">
        <v>174</v>
      </c>
      <c r="D464" s="49">
        <v>30.0</v>
      </c>
      <c r="E464" s="65">
        <v>18.0</v>
      </c>
      <c r="F464" s="65">
        <v>14.0</v>
      </c>
      <c r="G464" s="27">
        <v>57.644</v>
      </c>
      <c r="H464" s="27">
        <v>65.0</v>
      </c>
      <c r="I464" s="27">
        <v>80.633</v>
      </c>
      <c r="J464" s="27">
        <v>80.333</v>
      </c>
      <c r="K464" s="27">
        <v>79.333</v>
      </c>
    </row>
    <row r="465" ht="15.75" customHeight="1">
      <c r="B465" s="10" t="s">
        <v>528</v>
      </c>
      <c r="C465" s="10" t="s">
        <v>169</v>
      </c>
      <c r="D465" s="49">
        <v>11.0</v>
      </c>
      <c r="E465" s="65">
        <v>21.0</v>
      </c>
      <c r="F465" s="65">
        <v>5.0</v>
      </c>
      <c r="G465" s="27">
        <v>-16.364</v>
      </c>
      <c r="H465" s="27">
        <v>-18.485</v>
      </c>
      <c r="I465" s="27">
        <v>-9.697</v>
      </c>
      <c r="J465" s="27">
        <v>-12.152</v>
      </c>
      <c r="K465" s="27">
        <v>-20.333</v>
      </c>
    </row>
    <row r="466" ht="15.75" customHeight="1">
      <c r="B466" s="10" t="s">
        <v>529</v>
      </c>
      <c r="C466" s="10" t="s">
        <v>179</v>
      </c>
      <c r="D466" s="49">
        <v>58.0</v>
      </c>
      <c r="E466" s="65">
        <v>22.0</v>
      </c>
      <c r="F466" s="65">
        <v>14.0</v>
      </c>
      <c r="G466" s="27">
        <v>27.148</v>
      </c>
      <c r="H466" s="27">
        <v>73.145</v>
      </c>
      <c r="I466" s="27">
        <v>83.507</v>
      </c>
      <c r="J466" s="27">
        <v>91.998</v>
      </c>
      <c r="K466" s="27">
        <v>91.998</v>
      </c>
    </row>
    <row r="467" ht="15.75" customHeight="1">
      <c r="B467" s="10" t="s">
        <v>531</v>
      </c>
      <c r="C467" s="10" t="s">
        <v>167</v>
      </c>
      <c r="D467" s="49">
        <v>13.0</v>
      </c>
      <c r="E467" s="65">
        <v>17.0</v>
      </c>
      <c r="F467" s="65">
        <v>17.0</v>
      </c>
      <c r="G467" s="27">
        <v>1.487</v>
      </c>
      <c r="H467" s="27">
        <v>50.874</v>
      </c>
      <c r="I467" s="27">
        <v>70.618</v>
      </c>
      <c r="J467" s="27">
        <v>80.433</v>
      </c>
      <c r="K467" s="27">
        <v>90.503</v>
      </c>
    </row>
    <row r="468" ht="15.75" customHeight="1">
      <c r="B468" s="10" t="s">
        <v>536</v>
      </c>
      <c r="C468" s="10" t="s">
        <v>174</v>
      </c>
      <c r="D468" s="49">
        <v>42.0</v>
      </c>
      <c r="E468" s="65">
        <v>16.0</v>
      </c>
      <c r="F468" s="65">
        <v>11.0</v>
      </c>
      <c r="G468" s="27">
        <v>59.421</v>
      </c>
      <c r="H468" s="27">
        <v>80.493</v>
      </c>
      <c r="I468" s="27">
        <v>93.103</v>
      </c>
      <c r="J468" s="27">
        <v>93.103</v>
      </c>
      <c r="K468" s="27">
        <v>93.103</v>
      </c>
    </row>
    <row r="469" ht="15.75" customHeight="1">
      <c r="B469" s="10" t="s">
        <v>540</v>
      </c>
      <c r="C469" s="10" t="s">
        <v>541</v>
      </c>
      <c r="D469" s="49">
        <v>17.0</v>
      </c>
      <c r="E469" s="65">
        <v>17.0</v>
      </c>
      <c r="F469" s="65">
        <v>16.0</v>
      </c>
      <c r="G469" s="27">
        <v>29.902</v>
      </c>
      <c r="H469" s="27">
        <v>28.667</v>
      </c>
      <c r="I469" s="27">
        <v>48.902</v>
      </c>
      <c r="J469" s="27">
        <v>47.843</v>
      </c>
      <c r="K469" s="27">
        <v>44.314</v>
      </c>
    </row>
    <row r="470" ht="15.75" customHeight="1">
      <c r="B470" s="10" t="s">
        <v>542</v>
      </c>
      <c r="C470" s="10" t="s">
        <v>174</v>
      </c>
      <c r="D470" s="49">
        <v>29.0</v>
      </c>
      <c r="E470" s="65">
        <v>11.0</v>
      </c>
      <c r="F470" s="65">
        <v>7.0</v>
      </c>
      <c r="G470" s="27">
        <v>73.184</v>
      </c>
      <c r="H470" s="27">
        <v>81.126</v>
      </c>
      <c r="I470" s="27">
        <v>85.092</v>
      </c>
      <c r="J470" s="27">
        <v>84.885</v>
      </c>
      <c r="K470" s="27">
        <v>84.195</v>
      </c>
    </row>
    <row r="471" ht="15.75" customHeight="1">
      <c r="B471" s="10" t="s">
        <v>543</v>
      </c>
      <c r="C471" s="10" t="s">
        <v>166</v>
      </c>
      <c r="D471" s="49">
        <v>35.0</v>
      </c>
      <c r="E471" s="65">
        <v>21.0</v>
      </c>
      <c r="F471" s="65">
        <v>20.0</v>
      </c>
      <c r="G471" s="27">
        <v>52.172</v>
      </c>
      <c r="H471" s="27">
        <v>55.506</v>
      </c>
      <c r="I471" s="27">
        <v>83.897</v>
      </c>
      <c r="J471" s="27">
        <v>87.851</v>
      </c>
      <c r="K471" s="27">
        <v>91.897</v>
      </c>
    </row>
    <row r="472" ht="15.75" customHeight="1">
      <c r="B472" s="10" t="s">
        <v>544</v>
      </c>
      <c r="C472" s="10" t="s">
        <v>182</v>
      </c>
      <c r="D472" s="49">
        <v>10.0</v>
      </c>
      <c r="E472" s="65">
        <v>20.0</v>
      </c>
      <c r="F472" s="65">
        <v>20.0</v>
      </c>
      <c r="G472" s="27">
        <v>-15.333</v>
      </c>
      <c r="H472" s="27">
        <v>55.2</v>
      </c>
      <c r="I472" s="27">
        <v>72.55</v>
      </c>
      <c r="J472" s="27">
        <v>72.1</v>
      </c>
      <c r="K472" s="27">
        <v>89.1</v>
      </c>
    </row>
    <row r="473" ht="15.75" customHeight="1">
      <c r="B473" s="10" t="s">
        <v>545</v>
      </c>
      <c r="C473" s="10" t="s">
        <v>171</v>
      </c>
      <c r="D473" s="49">
        <v>23.0</v>
      </c>
      <c r="E473" s="65">
        <v>11.0</v>
      </c>
      <c r="F473" s="65">
        <v>11.0</v>
      </c>
      <c r="G473" s="27">
        <v>41.159</v>
      </c>
      <c r="H473" s="27">
        <v>61.246</v>
      </c>
      <c r="I473" s="27">
        <v>60.638</v>
      </c>
      <c r="J473" s="27">
        <v>78.672</v>
      </c>
      <c r="K473" s="27">
        <v>77.629</v>
      </c>
    </row>
    <row r="474" ht="15.75" customHeight="1">
      <c r="B474" s="10" t="s">
        <v>546</v>
      </c>
      <c r="C474" s="10" t="s">
        <v>179</v>
      </c>
      <c r="D474" s="49">
        <v>59.0</v>
      </c>
      <c r="E474" s="65">
        <v>13.0</v>
      </c>
      <c r="F474" s="65">
        <v>12.0</v>
      </c>
      <c r="G474" s="27">
        <v>50.947</v>
      </c>
      <c r="H474" s="27">
        <v>78.035</v>
      </c>
      <c r="I474" s="27">
        <v>82.034</v>
      </c>
      <c r="J474" s="27">
        <v>86.069</v>
      </c>
      <c r="K474" s="27">
        <v>92.07</v>
      </c>
    </row>
    <row r="475" ht="15.75" customHeight="1">
      <c r="B475" s="10" t="s">
        <v>547</v>
      </c>
      <c r="C475" s="10" t="s">
        <v>174</v>
      </c>
      <c r="D475" s="49">
        <v>18.0</v>
      </c>
      <c r="E475" s="65">
        <v>10.0</v>
      </c>
      <c r="F475" s="65">
        <v>43.0</v>
      </c>
      <c r="G475" s="27">
        <v>19.852</v>
      </c>
      <c r="H475" s="27">
        <v>25.167</v>
      </c>
      <c r="I475" s="27">
        <v>30.593</v>
      </c>
      <c r="J475" s="27">
        <v>29.093</v>
      </c>
      <c r="K475" s="27">
        <v>65.23</v>
      </c>
    </row>
    <row r="476" ht="15.75" customHeight="1">
      <c r="B476" s="10" t="s">
        <v>548</v>
      </c>
      <c r="C476" s="10" t="s">
        <v>175</v>
      </c>
      <c r="D476" s="49">
        <v>37.0</v>
      </c>
      <c r="E476" s="65">
        <v>14.0</v>
      </c>
      <c r="F476" s="65">
        <v>9.0</v>
      </c>
      <c r="G476" s="27">
        <v>44.91</v>
      </c>
      <c r="H476" s="27">
        <v>63.622</v>
      </c>
      <c r="I476" s="27">
        <v>63.054</v>
      </c>
      <c r="J476" s="27">
        <v>62.324</v>
      </c>
      <c r="K476" s="27">
        <v>63.288</v>
      </c>
    </row>
    <row r="477" ht="15.75" customHeight="1">
      <c r="B477" s="10" t="s">
        <v>549</v>
      </c>
      <c r="C477" s="10" t="s">
        <v>178</v>
      </c>
      <c r="D477" s="49">
        <v>10.0</v>
      </c>
      <c r="E477" s="65">
        <v>25.0</v>
      </c>
      <c r="F477" s="65">
        <v>25.0</v>
      </c>
      <c r="G477" s="27">
        <v>21.267</v>
      </c>
      <c r="H477" s="27">
        <v>19.867</v>
      </c>
      <c r="I477" s="27">
        <v>42.533</v>
      </c>
      <c r="J477" s="27">
        <v>65.7</v>
      </c>
      <c r="K477" s="27">
        <v>76.467</v>
      </c>
    </row>
    <row r="478" ht="15.75" customHeight="1">
      <c r="B478" s="10" t="s">
        <v>550</v>
      </c>
      <c r="C478" s="10" t="s">
        <v>171</v>
      </c>
      <c r="D478" s="49">
        <v>10.0</v>
      </c>
      <c r="E478" s="65">
        <v>15.0</v>
      </c>
      <c r="F478" s="65">
        <v>38.0</v>
      </c>
      <c r="G478" s="27">
        <v>8.967</v>
      </c>
      <c r="H478" s="27">
        <v>31.533</v>
      </c>
      <c r="I478" s="27">
        <v>42.567</v>
      </c>
      <c r="J478" s="27">
        <v>53.567</v>
      </c>
      <c r="K478" s="27">
        <v>75.733</v>
      </c>
    </row>
    <row r="479" ht="15.75" customHeight="1">
      <c r="B479" s="10" t="s">
        <v>551</v>
      </c>
      <c r="C479" s="10" t="s">
        <v>166</v>
      </c>
      <c r="D479" s="49">
        <v>37.0</v>
      </c>
      <c r="E479" s="65">
        <v>18.0</v>
      </c>
      <c r="F479" s="65">
        <v>17.0</v>
      </c>
      <c r="G479" s="27">
        <v>56.76</v>
      </c>
      <c r="H479" s="27">
        <v>76.861</v>
      </c>
      <c r="I479" s="27">
        <v>93.178</v>
      </c>
      <c r="J479" s="27">
        <v>93.178</v>
      </c>
      <c r="K479" s="27">
        <v>93.178</v>
      </c>
    </row>
    <row r="480" ht="15.75" customHeight="1">
      <c r="B480" s="10" t="s">
        <v>552</v>
      </c>
      <c r="C480" s="10" t="s">
        <v>167</v>
      </c>
      <c r="D480" s="49">
        <v>14.0</v>
      </c>
      <c r="E480" s="65">
        <v>38.0</v>
      </c>
      <c r="F480" s="65">
        <v>38.0</v>
      </c>
      <c r="G480" s="27">
        <v>-27.333</v>
      </c>
      <c r="H480" s="27">
        <v>-3.619</v>
      </c>
      <c r="I480" s="27">
        <v>11.905</v>
      </c>
      <c r="J480" s="27">
        <v>27.31</v>
      </c>
      <c r="K480" s="27">
        <v>58.643</v>
      </c>
    </row>
    <row r="481" ht="15.75" customHeight="1">
      <c r="B481" s="10" t="s">
        <v>553</v>
      </c>
      <c r="C481" s="10" t="s">
        <v>171</v>
      </c>
      <c r="D481" s="49">
        <v>19.0</v>
      </c>
      <c r="E481" s="65">
        <v>18.0</v>
      </c>
      <c r="F481" s="65">
        <v>16.0</v>
      </c>
      <c r="G481" s="27">
        <v>4.474</v>
      </c>
      <c r="H481" s="27">
        <v>28.158</v>
      </c>
      <c r="I481" s="27">
        <v>52.526</v>
      </c>
      <c r="J481" s="27">
        <v>51.579</v>
      </c>
      <c r="K481" s="27">
        <v>54.877</v>
      </c>
    </row>
    <row r="482" ht="15.75" customHeight="1">
      <c r="B482" s="10" t="s">
        <v>554</v>
      </c>
      <c r="C482" s="10" t="s">
        <v>166</v>
      </c>
      <c r="D482" s="49">
        <v>12.0</v>
      </c>
      <c r="E482" s="65">
        <v>20.0</v>
      </c>
      <c r="F482" s="65">
        <v>15.0</v>
      </c>
      <c r="G482" s="27">
        <v>43.25</v>
      </c>
      <c r="H482" s="27">
        <v>52.278</v>
      </c>
      <c r="I482" s="27">
        <v>71.694</v>
      </c>
      <c r="J482" s="27">
        <v>81.306</v>
      </c>
      <c r="K482" s="27">
        <v>80.472</v>
      </c>
    </row>
    <row r="483" ht="15.75" customHeight="1">
      <c r="B483" s="10" t="s">
        <v>555</v>
      </c>
      <c r="C483" s="10" t="s">
        <v>181</v>
      </c>
      <c r="D483" s="49">
        <v>15.0</v>
      </c>
      <c r="E483" s="65">
        <v>7.0</v>
      </c>
      <c r="F483" s="65">
        <v>23.0</v>
      </c>
      <c r="G483" s="27">
        <v>-3.222</v>
      </c>
      <c r="H483" s="27">
        <v>-5.089</v>
      </c>
      <c r="I483" s="27">
        <v>1.067</v>
      </c>
      <c r="J483" s="27">
        <v>7.022</v>
      </c>
      <c r="K483" s="27">
        <v>16.867</v>
      </c>
    </row>
    <row r="484" ht="15.75" customHeight="1">
      <c r="B484" s="10" t="s">
        <v>556</v>
      </c>
      <c r="C484" s="10" t="s">
        <v>228</v>
      </c>
      <c r="D484" s="49">
        <v>10.0</v>
      </c>
      <c r="E484" s="65">
        <v>12.0</v>
      </c>
      <c r="F484" s="65">
        <v>28.0</v>
      </c>
      <c r="G484" s="27">
        <v>45.3</v>
      </c>
      <c r="H484" s="27">
        <v>56.433</v>
      </c>
      <c r="I484" s="27">
        <v>55.733</v>
      </c>
      <c r="J484" s="27">
        <v>78.933</v>
      </c>
      <c r="K484" s="27">
        <v>77.933</v>
      </c>
    </row>
    <row r="485" ht="15.75" customHeight="1">
      <c r="B485" s="10" t="s">
        <v>557</v>
      </c>
      <c r="C485" s="10" t="s">
        <v>175</v>
      </c>
      <c r="D485" s="49">
        <v>10.0</v>
      </c>
      <c r="E485" s="65">
        <v>17.0</v>
      </c>
      <c r="F485" s="65">
        <v>17.0</v>
      </c>
      <c r="G485" s="27">
        <v>-2.967</v>
      </c>
      <c r="H485" s="27">
        <v>7.233</v>
      </c>
      <c r="I485" s="27">
        <v>29.9</v>
      </c>
      <c r="J485" s="27">
        <v>28.4</v>
      </c>
      <c r="K485" s="27">
        <v>35.7</v>
      </c>
    </row>
    <row r="486" ht="15.75" customHeight="1">
      <c r="B486" s="10" t="s">
        <v>558</v>
      </c>
      <c r="C486" s="10" t="s">
        <v>175</v>
      </c>
      <c r="D486" s="49">
        <v>13.0</v>
      </c>
      <c r="E486" s="65">
        <v>12.0</v>
      </c>
      <c r="F486" s="65">
        <v>12.0</v>
      </c>
      <c r="G486" s="27">
        <v>19.359</v>
      </c>
      <c r="H486" s="27">
        <v>49.894</v>
      </c>
      <c r="I486" s="27">
        <v>49.073</v>
      </c>
      <c r="J486" s="27">
        <v>48.018</v>
      </c>
      <c r="K486" s="27">
        <v>55.52</v>
      </c>
    </row>
    <row r="487" ht="15.75" customHeight="1">
      <c r="B487" s="10" t="s">
        <v>559</v>
      </c>
      <c r="C487" s="10" t="s">
        <v>167</v>
      </c>
      <c r="D487" s="49">
        <v>17.0</v>
      </c>
      <c r="E487" s="65">
        <v>22.0</v>
      </c>
      <c r="F487" s="65">
        <v>19.0</v>
      </c>
      <c r="G487" s="27">
        <v>1.078</v>
      </c>
      <c r="H487" s="27">
        <v>41.922</v>
      </c>
      <c r="I487" s="27">
        <v>62.333</v>
      </c>
      <c r="J487" s="27">
        <v>75.902</v>
      </c>
      <c r="K487" s="27">
        <v>74.725</v>
      </c>
    </row>
    <row r="488" ht="15.75" customHeight="1">
      <c r="B488" s="10" t="s">
        <v>560</v>
      </c>
      <c r="C488" s="10" t="s">
        <v>561</v>
      </c>
      <c r="D488" s="49">
        <v>35.0</v>
      </c>
      <c r="E488" s="65">
        <v>12.0</v>
      </c>
      <c r="F488" s="65">
        <v>8.0</v>
      </c>
      <c r="G488" s="27">
        <v>64.144</v>
      </c>
      <c r="H488" s="27">
        <v>89.498</v>
      </c>
      <c r="I488" s="27">
        <v>89.427</v>
      </c>
      <c r="J488" s="27">
        <v>93.052</v>
      </c>
      <c r="K488" s="27">
        <v>93.052</v>
      </c>
    </row>
    <row r="489" ht="15.75" customHeight="1">
      <c r="B489" s="10" t="s">
        <v>562</v>
      </c>
      <c r="C489" s="10" t="s">
        <v>166</v>
      </c>
      <c r="D489" s="49">
        <v>10.0</v>
      </c>
      <c r="E489" s="65">
        <v>7.0</v>
      </c>
      <c r="F489" s="65">
        <v>27.0</v>
      </c>
      <c r="G489" s="27">
        <v>21.0</v>
      </c>
      <c r="H489" s="27">
        <v>19.6</v>
      </c>
      <c r="I489" s="27">
        <v>18.2</v>
      </c>
      <c r="J489" s="27">
        <v>40.6</v>
      </c>
      <c r="K489" s="27">
        <v>48.6</v>
      </c>
    </row>
    <row r="490" ht="15.75" customHeight="1">
      <c r="B490" s="10" t="s">
        <v>563</v>
      </c>
      <c r="C490" s="10" t="s">
        <v>179</v>
      </c>
      <c r="D490" s="49">
        <v>49.0</v>
      </c>
      <c r="E490" s="65">
        <v>17.0</v>
      </c>
      <c r="F490" s="65">
        <v>16.0</v>
      </c>
      <c r="G490" s="27">
        <v>45.861</v>
      </c>
      <c r="H490" s="27">
        <v>67.625</v>
      </c>
      <c r="I490" s="27">
        <v>74.736</v>
      </c>
      <c r="J490" s="27">
        <v>87.028</v>
      </c>
      <c r="K490" s="27">
        <v>91.924</v>
      </c>
    </row>
    <row r="491" ht="15.75" customHeight="1">
      <c r="B491" s="10" t="s">
        <v>564</v>
      </c>
      <c r="C491" s="10" t="s">
        <v>171</v>
      </c>
      <c r="D491" s="49">
        <v>63.0</v>
      </c>
      <c r="E491" s="65">
        <v>42.0</v>
      </c>
      <c r="F491" s="65">
        <v>39.0</v>
      </c>
      <c r="G491" s="27">
        <v>22.947</v>
      </c>
      <c r="H491" s="27">
        <v>40.751</v>
      </c>
      <c r="I491" s="27">
        <v>53.33</v>
      </c>
      <c r="J491" s="27">
        <v>54.41</v>
      </c>
      <c r="K491" s="27">
        <v>83.145</v>
      </c>
    </row>
    <row r="492" ht="15.75" customHeight="1">
      <c r="B492" s="10" t="s">
        <v>565</v>
      </c>
      <c r="C492" s="10" t="s">
        <v>182</v>
      </c>
      <c r="D492" s="49">
        <v>38.0</v>
      </c>
      <c r="E492" s="65">
        <v>4.0</v>
      </c>
      <c r="F492" s="65">
        <v>34.0</v>
      </c>
      <c r="G492" s="27">
        <v>39.877</v>
      </c>
      <c r="H492" s="27">
        <v>38.833</v>
      </c>
      <c r="I492" s="27">
        <v>37.789</v>
      </c>
      <c r="J492" s="27">
        <v>55.412</v>
      </c>
      <c r="K492" s="27">
        <v>72.746</v>
      </c>
    </row>
    <row r="493" ht="15.75" customHeight="1">
      <c r="B493" s="10" t="s">
        <v>566</v>
      </c>
      <c r="C493" s="10" t="s">
        <v>169</v>
      </c>
      <c r="D493" s="49">
        <v>12.0</v>
      </c>
      <c r="E493" s="65">
        <v>32.0</v>
      </c>
      <c r="F493" s="65">
        <v>30.0</v>
      </c>
      <c r="G493" s="27">
        <v>-7.194</v>
      </c>
      <c r="H493" s="27">
        <v>10.944</v>
      </c>
      <c r="I493" s="27">
        <v>19.472</v>
      </c>
      <c r="J493" s="27">
        <v>57.972</v>
      </c>
      <c r="K493" s="27">
        <v>77.056</v>
      </c>
    </row>
    <row r="494" ht="15.75" customHeight="1">
      <c r="B494" s="10" t="s">
        <v>567</v>
      </c>
      <c r="C494" s="10" t="s">
        <v>172</v>
      </c>
      <c r="D494" s="49">
        <v>11.0</v>
      </c>
      <c r="E494" s="65">
        <v>29.0</v>
      </c>
      <c r="F494" s="65">
        <v>39.0</v>
      </c>
      <c r="G494" s="27">
        <v>5.727</v>
      </c>
      <c r="H494" s="27">
        <v>14.939</v>
      </c>
      <c r="I494" s="27">
        <v>26.182</v>
      </c>
      <c r="J494" s="27">
        <v>63.197</v>
      </c>
      <c r="K494" s="27">
        <v>87.768</v>
      </c>
    </row>
    <row r="495" ht="15.75" customHeight="1">
      <c r="B495" s="10" t="s">
        <v>568</v>
      </c>
      <c r="C495" s="10" t="s">
        <v>171</v>
      </c>
      <c r="D495" s="49">
        <v>14.0</v>
      </c>
      <c r="E495" s="65">
        <v>16.0</v>
      </c>
      <c r="F495" s="65">
        <v>16.0</v>
      </c>
      <c r="G495" s="27">
        <v>33.214</v>
      </c>
      <c r="H495" s="27">
        <v>44.048</v>
      </c>
      <c r="I495" s="27">
        <v>67.448</v>
      </c>
      <c r="J495" s="27">
        <v>66.848</v>
      </c>
      <c r="K495" s="27">
        <v>77.281</v>
      </c>
    </row>
    <row r="496" ht="15.75" customHeight="1">
      <c r="B496" s="10" t="s">
        <v>569</v>
      </c>
      <c r="C496" s="10" t="s">
        <v>172</v>
      </c>
      <c r="D496" s="49">
        <v>12.0</v>
      </c>
      <c r="E496" s="65">
        <v>13.0</v>
      </c>
      <c r="F496" s="65">
        <v>13.0</v>
      </c>
      <c r="G496" s="27">
        <v>23.361</v>
      </c>
      <c r="H496" s="27">
        <v>52.278</v>
      </c>
      <c r="I496" s="27">
        <v>51.5</v>
      </c>
      <c r="J496" s="27">
        <v>60.639</v>
      </c>
      <c r="K496" s="27">
        <v>58.139</v>
      </c>
    </row>
    <row r="497" ht="15.75" customHeight="1">
      <c r="B497" s="10" t="s">
        <v>570</v>
      </c>
      <c r="C497" s="10" t="s">
        <v>181</v>
      </c>
      <c r="D497" s="49">
        <v>33.0</v>
      </c>
      <c r="E497" s="65">
        <v>30.0</v>
      </c>
      <c r="F497" s="65">
        <v>24.0</v>
      </c>
      <c r="G497" s="27">
        <v>37.289</v>
      </c>
      <c r="H497" s="27">
        <v>52.289</v>
      </c>
      <c r="I497" s="27">
        <v>63.644</v>
      </c>
      <c r="J497" s="27">
        <v>87.189</v>
      </c>
      <c r="K497" s="27">
        <v>90.9</v>
      </c>
    </row>
    <row r="498" ht="15.75" customHeight="1">
      <c r="B498" s="10" t="s">
        <v>571</v>
      </c>
      <c r="C498" s="10" t="s">
        <v>175</v>
      </c>
      <c r="D498" s="49">
        <v>14.0</v>
      </c>
      <c r="E498" s="65">
        <v>13.0</v>
      </c>
      <c r="F498" s="65">
        <v>13.0</v>
      </c>
      <c r="G498" s="27">
        <v>24.571</v>
      </c>
      <c r="H498" s="27">
        <v>57.905</v>
      </c>
      <c r="I498" s="27">
        <v>57.238</v>
      </c>
      <c r="J498" s="27">
        <v>73.81</v>
      </c>
      <c r="K498" s="27">
        <v>72.381</v>
      </c>
    </row>
    <row r="499" ht="15.75" customHeight="1">
      <c r="B499" s="10" t="s">
        <v>572</v>
      </c>
      <c r="C499" s="10" t="s">
        <v>228</v>
      </c>
      <c r="D499" s="49">
        <v>29.0</v>
      </c>
      <c r="E499" s="65">
        <v>14.0</v>
      </c>
      <c r="F499" s="65">
        <v>13.0</v>
      </c>
      <c r="G499" s="27">
        <v>56.414</v>
      </c>
      <c r="H499" s="27">
        <v>83.416</v>
      </c>
      <c r="I499" s="27">
        <v>83.228</v>
      </c>
      <c r="J499" s="27">
        <v>82.987</v>
      </c>
      <c r="K499" s="27">
        <v>82.182</v>
      </c>
    </row>
    <row r="500" ht="15.75" customHeight="1">
      <c r="B500" s="10" t="s">
        <v>573</v>
      </c>
      <c r="C500" s="10" t="s">
        <v>169</v>
      </c>
      <c r="D500" s="49">
        <v>13.0</v>
      </c>
      <c r="E500" s="65">
        <v>8.0</v>
      </c>
      <c r="F500" s="65">
        <v>42.0</v>
      </c>
      <c r="G500" s="27">
        <v>9.923</v>
      </c>
      <c r="H500" s="27">
        <v>17.692</v>
      </c>
      <c r="I500" s="27">
        <v>16.256</v>
      </c>
      <c r="J500" s="27">
        <v>25.048</v>
      </c>
      <c r="K500" s="27">
        <v>86.352</v>
      </c>
    </row>
    <row r="501" ht="15.75" customHeight="1">
      <c r="B501" s="10" t="s">
        <v>574</v>
      </c>
      <c r="C501" s="10" t="s">
        <v>169</v>
      </c>
      <c r="D501" s="49">
        <v>10.0</v>
      </c>
      <c r="E501" s="65">
        <v>12.0</v>
      </c>
      <c r="F501" s="65">
        <v>57.0</v>
      </c>
      <c r="G501" s="27">
        <v>-27.333</v>
      </c>
      <c r="H501" s="27">
        <v>-5.4</v>
      </c>
      <c r="I501" s="27">
        <v>-7.267</v>
      </c>
      <c r="J501" s="27">
        <v>-9.667</v>
      </c>
      <c r="K501" s="27">
        <v>22.187</v>
      </c>
    </row>
    <row r="502" ht="15.75" customHeight="1">
      <c r="B502" s="10" t="s">
        <v>575</v>
      </c>
      <c r="C502" s="10" t="s">
        <v>182</v>
      </c>
      <c r="D502" s="49">
        <v>16.0</v>
      </c>
      <c r="E502" s="65">
        <v>25.0</v>
      </c>
      <c r="F502" s="65">
        <v>24.0</v>
      </c>
      <c r="G502" s="27">
        <v>-3.984</v>
      </c>
      <c r="H502" s="27">
        <v>34.942</v>
      </c>
      <c r="I502" s="27">
        <v>50.131</v>
      </c>
      <c r="J502" s="27">
        <v>65.522</v>
      </c>
      <c r="K502" s="27">
        <v>71.849</v>
      </c>
    </row>
    <row r="503" ht="15.75" customHeight="1">
      <c r="B503" s="10" t="s">
        <v>576</v>
      </c>
      <c r="C503" s="10" t="s">
        <v>182</v>
      </c>
      <c r="D503" s="49">
        <v>16.0</v>
      </c>
      <c r="E503" s="65">
        <v>30.0</v>
      </c>
      <c r="F503" s="65">
        <v>30.0</v>
      </c>
      <c r="G503" s="27">
        <v>18.208</v>
      </c>
      <c r="H503" s="27">
        <v>16.75</v>
      </c>
      <c r="I503" s="27">
        <v>37.896</v>
      </c>
      <c r="J503" s="27">
        <v>59.312</v>
      </c>
      <c r="K503" s="27">
        <v>72.667</v>
      </c>
    </row>
    <row r="504" ht="15.75" customHeight="1">
      <c r="B504" s="10" t="s">
        <v>577</v>
      </c>
      <c r="C504" s="10" t="s">
        <v>181</v>
      </c>
      <c r="D504" s="49">
        <v>15.0</v>
      </c>
      <c r="E504" s="65">
        <v>15.0</v>
      </c>
      <c r="F504" s="65">
        <v>27.0</v>
      </c>
      <c r="G504" s="27">
        <v>-3.311</v>
      </c>
      <c r="H504" s="27">
        <v>27.067</v>
      </c>
      <c r="I504" s="27">
        <v>41.978</v>
      </c>
      <c r="J504" s="27">
        <v>48.844</v>
      </c>
      <c r="K504" s="27">
        <v>62.067</v>
      </c>
    </row>
    <row r="505" ht="15.75" customHeight="1">
      <c r="B505" s="10" t="s">
        <v>578</v>
      </c>
      <c r="C505" s="10" t="s">
        <v>167</v>
      </c>
      <c r="D505" s="49">
        <v>20.0</v>
      </c>
      <c r="E505" s="65">
        <v>13.0</v>
      </c>
      <c r="F505" s="65">
        <v>33.0</v>
      </c>
      <c r="G505" s="27">
        <v>30.053</v>
      </c>
      <c r="H505" s="27">
        <v>47.895</v>
      </c>
      <c r="I505" s="27">
        <v>47.035</v>
      </c>
      <c r="J505" s="27">
        <v>45.93</v>
      </c>
      <c r="K505" s="27">
        <v>75.333</v>
      </c>
    </row>
    <row r="506" ht="15.75" customHeight="1">
      <c r="B506" s="10" t="s">
        <v>579</v>
      </c>
      <c r="C506" s="10" t="s">
        <v>166</v>
      </c>
      <c r="D506" s="49">
        <v>29.0</v>
      </c>
      <c r="E506" s="65">
        <v>19.0</v>
      </c>
      <c r="F506" s="65">
        <v>16.0</v>
      </c>
      <c r="G506" s="27">
        <v>39.552</v>
      </c>
      <c r="H506" s="27">
        <v>69.558</v>
      </c>
      <c r="I506" s="27">
        <v>92.291</v>
      </c>
      <c r="J506" s="27">
        <v>92.291</v>
      </c>
      <c r="K506" s="27">
        <v>92.291</v>
      </c>
    </row>
    <row r="507" ht="15.75" customHeight="1">
      <c r="B507" s="10" t="s">
        <v>580</v>
      </c>
      <c r="C507" s="10" t="s">
        <v>166</v>
      </c>
      <c r="D507" s="49">
        <v>10.0</v>
      </c>
      <c r="E507" s="65">
        <v>18.0</v>
      </c>
      <c r="F507" s="65">
        <v>18.0</v>
      </c>
      <c r="G507" s="27">
        <v>-15.167</v>
      </c>
      <c r="H507" s="27">
        <v>6.767</v>
      </c>
      <c r="I507" s="27">
        <v>53.767</v>
      </c>
      <c r="J507" s="27">
        <v>52.867</v>
      </c>
      <c r="K507" s="27">
        <v>62.0</v>
      </c>
    </row>
    <row r="508" ht="15.75" customHeight="1">
      <c r="B508" s="10" t="s">
        <v>581</v>
      </c>
      <c r="C508" s="10" t="s">
        <v>169</v>
      </c>
      <c r="D508" s="49">
        <v>20.0</v>
      </c>
      <c r="E508" s="65">
        <v>35.0</v>
      </c>
      <c r="F508" s="65">
        <v>34.0</v>
      </c>
      <c r="G508" s="27">
        <v>21.217</v>
      </c>
      <c r="H508" s="27">
        <v>25.833</v>
      </c>
      <c r="I508" s="27">
        <v>50.743</v>
      </c>
      <c r="J508" s="27">
        <v>65.92</v>
      </c>
      <c r="K508" s="27">
        <v>89.254</v>
      </c>
    </row>
    <row r="509" ht="15.75" customHeight="1">
      <c r="B509" s="10" t="s">
        <v>582</v>
      </c>
      <c r="C509" s="10" t="s">
        <v>183</v>
      </c>
      <c r="D509" s="49">
        <v>14.0</v>
      </c>
      <c r="E509" s="65">
        <v>21.0</v>
      </c>
      <c r="F509" s="65">
        <v>21.0</v>
      </c>
      <c r="G509" s="27">
        <v>15.929</v>
      </c>
      <c r="H509" s="27">
        <v>40.476</v>
      </c>
      <c r="I509" s="27">
        <v>65.238</v>
      </c>
      <c r="J509" s="27">
        <v>64.595</v>
      </c>
      <c r="K509" s="27">
        <v>71.286</v>
      </c>
    </row>
    <row r="510" ht="15.75" customHeight="1">
      <c r="B510" s="10" t="s">
        <v>583</v>
      </c>
      <c r="C510" s="10" t="s">
        <v>174</v>
      </c>
      <c r="D510" s="49">
        <v>18.0</v>
      </c>
      <c r="E510" s="65">
        <v>18.0</v>
      </c>
      <c r="F510" s="65">
        <v>35.0</v>
      </c>
      <c r="G510" s="27">
        <v>19.981</v>
      </c>
      <c r="H510" s="27">
        <v>45.407</v>
      </c>
      <c r="I510" s="27">
        <v>57.963</v>
      </c>
      <c r="J510" s="27">
        <v>57.13</v>
      </c>
      <c r="K510" s="27">
        <v>80.88</v>
      </c>
    </row>
    <row r="511" ht="15.75" customHeight="1">
      <c r="B511" s="10" t="s">
        <v>584</v>
      </c>
      <c r="C511" s="10" t="s">
        <v>171</v>
      </c>
      <c r="D511" s="49">
        <v>10.0</v>
      </c>
      <c r="E511" s="65">
        <v>20.0</v>
      </c>
      <c r="F511" s="65">
        <v>46.0</v>
      </c>
      <c r="G511" s="27">
        <v>7.19</v>
      </c>
      <c r="H511" s="27">
        <v>22.667</v>
      </c>
      <c r="I511" s="27">
        <v>55.905</v>
      </c>
      <c r="J511" s="27">
        <v>55.048</v>
      </c>
      <c r="K511" s="27">
        <v>87.381</v>
      </c>
    </row>
    <row r="512" ht="15.75" customHeight="1">
      <c r="B512" s="10" t="s">
        <v>585</v>
      </c>
      <c r="C512" s="10" t="s">
        <v>184</v>
      </c>
      <c r="D512" s="49">
        <v>10.0</v>
      </c>
      <c r="E512" s="65">
        <v>28.0</v>
      </c>
      <c r="F512" s="65">
        <v>28.0</v>
      </c>
      <c r="G512" s="27">
        <v>-0.667</v>
      </c>
      <c r="H512" s="27">
        <v>37.963</v>
      </c>
      <c r="I512" s="27">
        <v>50.444</v>
      </c>
      <c r="J512" s="27">
        <v>76.407</v>
      </c>
      <c r="K512" s="27">
        <v>89.296</v>
      </c>
    </row>
    <row r="513" ht="15.75" customHeight="1">
      <c r="B513" s="10" t="s">
        <v>586</v>
      </c>
      <c r="C513" s="10" t="s">
        <v>469</v>
      </c>
      <c r="D513" s="49">
        <v>36.0</v>
      </c>
      <c r="E513" s="65">
        <v>15.0</v>
      </c>
      <c r="F513" s="65">
        <v>14.0</v>
      </c>
      <c r="G513" s="27">
        <v>29.824</v>
      </c>
      <c r="H513" s="27">
        <v>65.667</v>
      </c>
      <c r="I513" s="27">
        <v>75.296</v>
      </c>
      <c r="J513" s="27">
        <v>74.88</v>
      </c>
      <c r="K513" s="27">
        <v>80.63</v>
      </c>
    </row>
    <row r="514" ht="15.75" customHeight="1">
      <c r="B514" s="10" t="s">
        <v>587</v>
      </c>
      <c r="C514" s="10" t="s">
        <v>169</v>
      </c>
      <c r="D514" s="49">
        <v>13.0</v>
      </c>
      <c r="E514" s="65">
        <v>30.0</v>
      </c>
      <c r="F514" s="65">
        <v>30.0</v>
      </c>
      <c r="G514" s="27">
        <v>-18.077</v>
      </c>
      <c r="H514" s="27">
        <v>7.821</v>
      </c>
      <c r="I514" s="27">
        <v>6.205</v>
      </c>
      <c r="J514" s="27">
        <v>41.487</v>
      </c>
      <c r="K514" s="27">
        <v>56.949</v>
      </c>
    </row>
    <row r="515" ht="15.75" customHeight="1">
      <c r="B515" s="10" t="s">
        <v>588</v>
      </c>
      <c r="C515" s="10" t="s">
        <v>171</v>
      </c>
      <c r="D515" s="49">
        <v>25.0</v>
      </c>
      <c r="E515" s="65">
        <v>20.0</v>
      </c>
      <c r="F515" s="65">
        <v>44.0</v>
      </c>
      <c r="G515" s="27">
        <v>20.275</v>
      </c>
      <c r="H515" s="27">
        <v>45.217</v>
      </c>
      <c r="I515" s="27">
        <v>60.072</v>
      </c>
      <c r="J515" s="27">
        <v>59.29</v>
      </c>
      <c r="K515" s="27">
        <v>89.159</v>
      </c>
    </row>
    <row r="516" ht="15.75" customHeight="1">
      <c r="B516" s="10" t="s">
        <v>589</v>
      </c>
      <c r="C516" s="10" t="s">
        <v>172</v>
      </c>
      <c r="D516" s="49">
        <v>12.0</v>
      </c>
      <c r="E516" s="65">
        <v>26.0</v>
      </c>
      <c r="F516" s="65">
        <v>26.0</v>
      </c>
      <c r="G516" s="27">
        <v>-17.333</v>
      </c>
      <c r="H516" s="27">
        <v>0.861</v>
      </c>
      <c r="I516" s="27">
        <v>39.278</v>
      </c>
      <c r="J516" s="27">
        <v>58.333</v>
      </c>
      <c r="K516" s="27">
        <v>76.861</v>
      </c>
    </row>
    <row r="517" ht="15.75" customHeight="1">
      <c r="B517" s="10" t="s">
        <v>590</v>
      </c>
      <c r="C517" s="10" t="s">
        <v>172</v>
      </c>
      <c r="D517" s="49">
        <v>12.0</v>
      </c>
      <c r="E517" s="65">
        <v>19.0</v>
      </c>
      <c r="F517" s="65">
        <v>18.0</v>
      </c>
      <c r="G517" s="27">
        <v>38.0</v>
      </c>
      <c r="H517" s="27">
        <v>59.327</v>
      </c>
      <c r="I517" s="27">
        <v>92.259</v>
      </c>
      <c r="J517" s="27">
        <v>92.259</v>
      </c>
      <c r="K517" s="27">
        <v>92.259</v>
      </c>
    </row>
    <row r="518" ht="15.75" customHeight="1">
      <c r="B518" s="10" t="s">
        <v>591</v>
      </c>
      <c r="C518" s="10" t="s">
        <v>592</v>
      </c>
      <c r="D518" s="49">
        <v>18.0</v>
      </c>
      <c r="E518" s="65">
        <v>3.0</v>
      </c>
      <c r="F518" s="65">
        <v>3.0</v>
      </c>
      <c r="G518" s="27">
        <v>94.444</v>
      </c>
      <c r="H518" s="27">
        <v>94.444</v>
      </c>
      <c r="I518" s="27">
        <v>94.444</v>
      </c>
      <c r="J518" s="27">
        <v>94.444</v>
      </c>
      <c r="K518" s="27">
        <v>94.444</v>
      </c>
    </row>
    <row r="519" ht="15.75" customHeight="1">
      <c r="B519" s="10" t="s">
        <v>593</v>
      </c>
      <c r="C519" s="10" t="s">
        <v>169</v>
      </c>
      <c r="D519" s="49">
        <v>10.0</v>
      </c>
      <c r="E519" s="65">
        <v>29.0</v>
      </c>
      <c r="F519" s="65">
        <v>29.0</v>
      </c>
      <c r="G519" s="27">
        <v>-0.667</v>
      </c>
      <c r="H519" s="27">
        <v>-2.481</v>
      </c>
      <c r="I519" s="27">
        <v>9.037</v>
      </c>
      <c r="J519" s="27">
        <v>33.815</v>
      </c>
      <c r="K519" s="27">
        <v>43.0</v>
      </c>
    </row>
    <row r="520" ht="15.75" customHeight="1">
      <c r="B520" s="10" t="s">
        <v>594</v>
      </c>
      <c r="C520" s="10" t="s">
        <v>181</v>
      </c>
      <c r="D520" s="49">
        <v>14.0</v>
      </c>
      <c r="E520" s="65">
        <v>27.0</v>
      </c>
      <c r="F520" s="65">
        <v>27.0</v>
      </c>
      <c r="G520" s="27">
        <v>-9.976</v>
      </c>
      <c r="H520" s="27">
        <v>13.929</v>
      </c>
      <c r="I520" s="27">
        <v>29.833</v>
      </c>
      <c r="J520" s="27">
        <v>54.381</v>
      </c>
      <c r="K520" s="27">
        <v>69.595</v>
      </c>
    </row>
    <row r="521" ht="15.75" customHeight="1">
      <c r="B521" s="10" t="s">
        <v>595</v>
      </c>
      <c r="C521" s="10" t="s">
        <v>176</v>
      </c>
      <c r="D521" s="49">
        <v>16.0</v>
      </c>
      <c r="E521" s="65">
        <v>15.0</v>
      </c>
      <c r="F521" s="65">
        <v>13.0</v>
      </c>
      <c r="G521" s="27">
        <v>18.083</v>
      </c>
      <c r="H521" s="27">
        <v>77.188</v>
      </c>
      <c r="I521" s="27">
        <v>84.521</v>
      </c>
      <c r="J521" s="27">
        <v>84.333</v>
      </c>
      <c r="K521" s="27">
        <v>83.708</v>
      </c>
    </row>
    <row r="522" ht="15.75" customHeight="1">
      <c r="B522" s="10" t="s">
        <v>596</v>
      </c>
      <c r="C522" s="10" t="s">
        <v>169</v>
      </c>
      <c r="D522" s="49">
        <v>15.0</v>
      </c>
      <c r="E522" s="65">
        <v>25.0</v>
      </c>
      <c r="F522" s="65">
        <v>24.0</v>
      </c>
      <c r="G522" s="27">
        <v>7.214</v>
      </c>
      <c r="H522" s="27">
        <v>22.786</v>
      </c>
      <c r="I522" s="27">
        <v>47.31</v>
      </c>
      <c r="J522" s="27">
        <v>63.643</v>
      </c>
      <c r="K522" s="27">
        <v>70.214</v>
      </c>
    </row>
    <row r="523" ht="15.75" customHeight="1">
      <c r="B523" s="10" t="s">
        <v>597</v>
      </c>
      <c r="C523" s="10" t="s">
        <v>172</v>
      </c>
      <c r="D523" s="49">
        <v>11.0</v>
      </c>
      <c r="E523" s="65">
        <v>13.0</v>
      </c>
      <c r="F523" s="65">
        <v>13.0</v>
      </c>
      <c r="G523" s="27">
        <v>-5.273</v>
      </c>
      <c r="H523" s="27">
        <v>69.848</v>
      </c>
      <c r="I523" s="27">
        <v>80.333</v>
      </c>
      <c r="J523" s="27">
        <v>80.061</v>
      </c>
      <c r="K523" s="27">
        <v>90.636</v>
      </c>
    </row>
    <row r="524" ht="15.75" customHeight="1">
      <c r="B524" s="10" t="s">
        <v>598</v>
      </c>
      <c r="C524" s="10" t="s">
        <v>176</v>
      </c>
      <c r="D524" s="49">
        <v>18.0</v>
      </c>
      <c r="E524" s="65">
        <v>27.0</v>
      </c>
      <c r="F524" s="65">
        <v>21.0</v>
      </c>
      <c r="G524" s="27">
        <v>33.019</v>
      </c>
      <c r="H524" s="27">
        <v>58.759</v>
      </c>
      <c r="I524" s="27">
        <v>74.824</v>
      </c>
      <c r="J524" s="27">
        <v>91.306</v>
      </c>
      <c r="K524" s="27">
        <v>91.306</v>
      </c>
    </row>
    <row r="525" ht="15.75" customHeight="1">
      <c r="B525" s="10" t="s">
        <v>599</v>
      </c>
      <c r="C525" s="10" t="s">
        <v>171</v>
      </c>
      <c r="D525" s="49">
        <v>20.0</v>
      </c>
      <c r="E525" s="65">
        <v>19.0</v>
      </c>
      <c r="F525" s="65">
        <v>19.0</v>
      </c>
      <c r="G525" s="27">
        <v>-9.15</v>
      </c>
      <c r="H525" s="27">
        <v>43.4</v>
      </c>
      <c r="I525" s="27">
        <v>60.683</v>
      </c>
      <c r="J525" s="27">
        <v>65.933</v>
      </c>
      <c r="K525" s="27">
        <v>76.767</v>
      </c>
    </row>
    <row r="526" ht="15.75" customHeight="1">
      <c r="B526" s="10" t="s">
        <v>600</v>
      </c>
      <c r="C526" s="10" t="s">
        <v>166</v>
      </c>
      <c r="D526" s="49">
        <v>45.0</v>
      </c>
      <c r="E526" s="65">
        <v>13.0</v>
      </c>
      <c r="F526" s="65">
        <v>27.0</v>
      </c>
      <c r="G526" s="27">
        <v>33.242</v>
      </c>
      <c r="H526" s="27">
        <v>59.659</v>
      </c>
      <c r="I526" s="27">
        <v>64.545</v>
      </c>
      <c r="J526" s="27">
        <v>74.864</v>
      </c>
      <c r="K526" s="27">
        <v>87.97</v>
      </c>
    </row>
    <row r="527" ht="15.75" customHeight="1">
      <c r="B527" s="10" t="s">
        <v>601</v>
      </c>
      <c r="C527" s="10" t="s">
        <v>602</v>
      </c>
      <c r="D527" s="49">
        <v>10.0</v>
      </c>
      <c r="E527" s="65">
        <v>11.0</v>
      </c>
      <c r="F527" s="65">
        <v>33.0</v>
      </c>
      <c r="G527" s="27">
        <v>33.167</v>
      </c>
      <c r="H527" s="27">
        <v>56.233</v>
      </c>
      <c r="I527" s="27">
        <v>55.533</v>
      </c>
      <c r="J527" s="27">
        <v>54.633</v>
      </c>
      <c r="K527" s="27">
        <v>89.883</v>
      </c>
    </row>
    <row r="528" ht="15.75" customHeight="1">
      <c r="B528" s="10" t="s">
        <v>603</v>
      </c>
      <c r="C528" s="10" t="s">
        <v>179</v>
      </c>
      <c r="D528" s="49">
        <v>14.0</v>
      </c>
      <c r="E528" s="65">
        <v>5.0</v>
      </c>
      <c r="F528" s="65">
        <v>21.0</v>
      </c>
      <c r="G528" s="27">
        <v>59.357</v>
      </c>
      <c r="H528" s="27">
        <v>67.262</v>
      </c>
      <c r="I528" s="27">
        <v>75.333</v>
      </c>
      <c r="J528" s="27">
        <v>83.643</v>
      </c>
      <c r="K528" s="27">
        <v>91.5</v>
      </c>
    </row>
    <row r="529" ht="15.75" customHeight="1">
      <c r="B529" s="10" t="s">
        <v>604</v>
      </c>
      <c r="C529" s="10" t="s">
        <v>170</v>
      </c>
      <c r="D529" s="49">
        <v>12.0</v>
      </c>
      <c r="E529" s="65">
        <v>35.0</v>
      </c>
      <c r="F529" s="65">
        <v>27.0</v>
      </c>
      <c r="G529" s="27">
        <v>13.111</v>
      </c>
      <c r="H529" s="27">
        <v>11.556</v>
      </c>
      <c r="I529" s="27">
        <v>33.206</v>
      </c>
      <c r="J529" s="27">
        <v>43.302</v>
      </c>
      <c r="K529" s="27">
        <v>51.714</v>
      </c>
    </row>
    <row r="530" ht="15.75" customHeight="1">
      <c r="B530" s="10" t="s">
        <v>605</v>
      </c>
      <c r="C530" s="10" t="s">
        <v>180</v>
      </c>
      <c r="D530" s="49">
        <v>11.0</v>
      </c>
      <c r="E530" s="65">
        <v>16.0</v>
      </c>
      <c r="F530" s="65">
        <v>37.0</v>
      </c>
      <c r="G530" s="27">
        <v>-3.067</v>
      </c>
      <c r="H530" s="27">
        <v>22.495</v>
      </c>
      <c r="I530" s="27">
        <v>35.067</v>
      </c>
      <c r="J530" s="27">
        <v>47.524</v>
      </c>
      <c r="K530" s="27">
        <v>73.048</v>
      </c>
    </row>
    <row r="531" ht="15.75" customHeight="1">
      <c r="B531" s="10" t="s">
        <v>606</v>
      </c>
      <c r="C531" s="10" t="s">
        <v>180</v>
      </c>
      <c r="D531" s="49">
        <v>11.0</v>
      </c>
      <c r="E531" s="65">
        <v>12.0</v>
      </c>
      <c r="F531" s="65">
        <v>11.0</v>
      </c>
      <c r="G531" s="27">
        <v>5.818</v>
      </c>
      <c r="H531" s="27">
        <v>59.121</v>
      </c>
      <c r="I531" s="27">
        <v>58.485</v>
      </c>
      <c r="J531" s="27">
        <v>57.667</v>
      </c>
      <c r="K531" s="27">
        <v>54.939</v>
      </c>
    </row>
    <row r="532" ht="15.75" customHeight="1">
      <c r="B532" s="10" t="s">
        <v>607</v>
      </c>
      <c r="C532" s="10" t="s">
        <v>166</v>
      </c>
      <c r="D532" s="49">
        <v>21.0</v>
      </c>
      <c r="E532" s="65">
        <v>49.0</v>
      </c>
      <c r="F532" s="65">
        <v>49.0</v>
      </c>
      <c r="G532" s="27">
        <v>-27.333</v>
      </c>
      <c r="H532" s="27">
        <v>-6.635</v>
      </c>
      <c r="I532" s="27">
        <v>-8.524</v>
      </c>
      <c r="J532" s="27">
        <v>1.053</v>
      </c>
      <c r="K532" s="27">
        <v>62.373</v>
      </c>
    </row>
    <row r="533" ht="15.75" customHeight="1">
      <c r="B533" s="10" t="s">
        <v>608</v>
      </c>
      <c r="C533" s="10" t="s">
        <v>609</v>
      </c>
      <c r="D533" s="49">
        <v>10.0</v>
      </c>
      <c r="E533" s="65">
        <v>23.0</v>
      </c>
      <c r="F533" s="65">
        <v>23.0</v>
      </c>
      <c r="G533" s="27">
        <v>13.074</v>
      </c>
      <c r="H533" s="27">
        <v>51.519</v>
      </c>
      <c r="I533" s="27">
        <v>50.741</v>
      </c>
      <c r="J533" s="27">
        <v>76.926</v>
      </c>
      <c r="K533" s="27">
        <v>90.185</v>
      </c>
    </row>
    <row r="534" ht="15.75" customHeight="1">
      <c r="B534" s="10" t="s">
        <v>610</v>
      </c>
      <c r="C534" s="10" t="s">
        <v>177</v>
      </c>
      <c r="D534" s="49">
        <v>10.0</v>
      </c>
      <c r="E534" s="65">
        <v>23.0</v>
      </c>
      <c r="F534" s="65">
        <v>21.0</v>
      </c>
      <c r="G534" s="27">
        <v>-3.133</v>
      </c>
      <c r="H534" s="27">
        <v>31.5</v>
      </c>
      <c r="I534" s="27">
        <v>66.467</v>
      </c>
      <c r="J534" s="27">
        <v>78.1</v>
      </c>
      <c r="K534" s="27">
        <v>77.1</v>
      </c>
    </row>
    <row r="535" ht="15.75" customHeight="1">
      <c r="B535" s="10" t="s">
        <v>611</v>
      </c>
      <c r="C535" s="10" t="s">
        <v>182</v>
      </c>
      <c r="D535" s="49">
        <v>10.0</v>
      </c>
      <c r="E535" s="65">
        <v>19.0</v>
      </c>
      <c r="F535" s="65">
        <v>16.0</v>
      </c>
      <c r="G535" s="27">
        <v>-15.233</v>
      </c>
      <c r="H535" s="27">
        <v>-5.233</v>
      </c>
      <c r="I535" s="27">
        <v>41.5</v>
      </c>
      <c r="J535" s="27">
        <v>40.3</v>
      </c>
      <c r="K535" s="27">
        <v>36.3</v>
      </c>
    </row>
    <row r="536" ht="15.75" customHeight="1">
      <c r="B536" s="10" t="s">
        <v>612</v>
      </c>
      <c r="C536" s="10" t="s">
        <v>169</v>
      </c>
      <c r="D536" s="49">
        <v>20.0</v>
      </c>
      <c r="E536" s="65">
        <v>17.0</v>
      </c>
      <c r="F536" s="65">
        <v>25.0</v>
      </c>
      <c r="G536" s="27">
        <v>14.8</v>
      </c>
      <c r="H536" s="27">
        <v>43.6</v>
      </c>
      <c r="I536" s="27">
        <v>60.9</v>
      </c>
      <c r="J536" s="27">
        <v>70.289</v>
      </c>
      <c r="K536" s="27">
        <v>89.456</v>
      </c>
    </row>
    <row r="537" ht="15.75" customHeight="1">
      <c r="B537" s="10" t="s">
        <v>613</v>
      </c>
      <c r="C537" s="10" t="s">
        <v>169</v>
      </c>
      <c r="D537" s="49">
        <v>13.0</v>
      </c>
      <c r="E537" s="65">
        <v>27.0</v>
      </c>
      <c r="F537" s="65">
        <v>26.0</v>
      </c>
      <c r="G537" s="27">
        <v>-7.851</v>
      </c>
      <c r="H537" s="27">
        <v>20.457</v>
      </c>
      <c r="I537" s="27">
        <v>49.324</v>
      </c>
      <c r="J537" s="27">
        <v>78.862</v>
      </c>
      <c r="K537" s="27">
        <v>88.821</v>
      </c>
    </row>
    <row r="538" ht="15.75" customHeight="1">
      <c r="B538" s="10" t="s">
        <v>614</v>
      </c>
      <c r="C538" s="10" t="s">
        <v>171</v>
      </c>
      <c r="D538" s="49">
        <v>11.0</v>
      </c>
      <c r="E538" s="65">
        <v>46.0</v>
      </c>
      <c r="F538" s="65">
        <v>42.0</v>
      </c>
      <c r="G538" s="27">
        <v>-16.242</v>
      </c>
      <c r="H538" s="27">
        <v>-7.273</v>
      </c>
      <c r="I538" s="27">
        <v>3.261</v>
      </c>
      <c r="J538" s="27">
        <v>13.489</v>
      </c>
      <c r="K538" s="27">
        <v>46.114</v>
      </c>
    </row>
    <row r="539" ht="15.75" customHeight="1">
      <c r="B539" s="10" t="s">
        <v>615</v>
      </c>
      <c r="C539" s="10" t="s">
        <v>180</v>
      </c>
      <c r="D539" s="49">
        <v>22.0</v>
      </c>
      <c r="E539" s="65">
        <v>22.0</v>
      </c>
      <c r="F539" s="65">
        <v>19.0</v>
      </c>
      <c r="G539" s="27">
        <v>5.667</v>
      </c>
      <c r="H539" s="27">
        <v>42.545</v>
      </c>
      <c r="I539" s="27">
        <v>69.106</v>
      </c>
      <c r="J539" s="27">
        <v>74.136</v>
      </c>
      <c r="K539" s="27">
        <v>84.061</v>
      </c>
    </row>
    <row r="540" ht="15.75" customHeight="1">
      <c r="B540" s="10" t="s">
        <v>616</v>
      </c>
      <c r="C540" s="10" t="s">
        <v>166</v>
      </c>
      <c r="D540" s="49">
        <v>10.0</v>
      </c>
      <c r="E540" s="65">
        <v>4.0</v>
      </c>
      <c r="F540" s="65">
        <v>25.0</v>
      </c>
      <c r="G540" s="27">
        <v>45.567</v>
      </c>
      <c r="H540" s="27">
        <v>44.633</v>
      </c>
      <c r="I540" s="27">
        <v>55.9</v>
      </c>
      <c r="J540" s="27">
        <v>67.167</v>
      </c>
      <c r="K540" s="27">
        <v>77.7</v>
      </c>
    </row>
    <row r="541" ht="15.75" customHeight="1">
      <c r="B541" s="10" t="s">
        <v>617</v>
      </c>
      <c r="C541" s="10" t="s">
        <v>592</v>
      </c>
      <c r="D541" s="49">
        <v>43.0</v>
      </c>
      <c r="E541" s="65">
        <v>11.0</v>
      </c>
      <c r="F541" s="65">
        <v>11.0</v>
      </c>
      <c r="G541" s="27">
        <v>71.388</v>
      </c>
      <c r="H541" s="27">
        <v>83.624</v>
      </c>
      <c r="I541" s="27">
        <v>88.372</v>
      </c>
      <c r="J541" s="27">
        <v>88.25</v>
      </c>
      <c r="K541" s="27">
        <v>93.079</v>
      </c>
    </row>
    <row r="542" ht="15.75" customHeight="1">
      <c r="B542" s="10" t="s">
        <v>618</v>
      </c>
      <c r="C542" s="10" t="s">
        <v>174</v>
      </c>
      <c r="D542" s="49">
        <v>16.0</v>
      </c>
      <c r="E542" s="65">
        <v>3.0</v>
      </c>
      <c r="F542" s="65">
        <v>3.0</v>
      </c>
      <c r="G542" s="27">
        <v>18.312</v>
      </c>
      <c r="H542" s="27">
        <v>16.854</v>
      </c>
      <c r="I542" s="27">
        <v>22.958</v>
      </c>
      <c r="J542" s="27">
        <v>21.271</v>
      </c>
      <c r="K542" s="27">
        <v>15.646</v>
      </c>
    </row>
    <row r="543" ht="15.75" customHeight="1">
      <c r="B543" s="10" t="s">
        <v>619</v>
      </c>
      <c r="C543" s="10" t="s">
        <v>166</v>
      </c>
      <c r="D543" s="49">
        <v>23.0</v>
      </c>
      <c r="E543" s="65">
        <v>15.0</v>
      </c>
      <c r="F543" s="65">
        <v>15.0</v>
      </c>
      <c r="G543" s="27">
        <v>16.697</v>
      </c>
      <c r="H543" s="27">
        <v>64.848</v>
      </c>
      <c r="I543" s="27">
        <v>75.348</v>
      </c>
      <c r="J543" s="27">
        <v>86.045</v>
      </c>
      <c r="K543" s="27">
        <v>91.273</v>
      </c>
    </row>
    <row r="544" ht="15.75" customHeight="1">
      <c r="B544" s="10" t="s">
        <v>620</v>
      </c>
      <c r="C544" s="10" t="s">
        <v>178</v>
      </c>
      <c r="D544" s="49">
        <v>10.0</v>
      </c>
      <c r="E544" s="65">
        <v>14.0</v>
      </c>
      <c r="F544" s="65">
        <v>14.0</v>
      </c>
      <c r="G544" s="27">
        <v>8.9</v>
      </c>
      <c r="H544" s="27">
        <v>43.5</v>
      </c>
      <c r="I544" s="27">
        <v>42.567</v>
      </c>
      <c r="J544" s="27">
        <v>53.567</v>
      </c>
      <c r="K544" s="27">
        <v>50.567</v>
      </c>
    </row>
    <row r="545" ht="15.75" customHeight="1">
      <c r="B545" s="10" t="s">
        <v>621</v>
      </c>
      <c r="C545" s="10" t="s">
        <v>179</v>
      </c>
      <c r="D545" s="49">
        <v>14.0</v>
      </c>
      <c r="E545" s="65">
        <v>37.0</v>
      </c>
      <c r="F545" s="65">
        <v>36.0</v>
      </c>
      <c r="G545" s="27">
        <v>-10.024</v>
      </c>
      <c r="H545" s="27">
        <v>5.167</v>
      </c>
      <c r="I545" s="27">
        <v>12.19</v>
      </c>
      <c r="J545" s="27">
        <v>27.524</v>
      </c>
      <c r="K545" s="27">
        <v>49.976</v>
      </c>
    </row>
    <row r="546" ht="15.75" customHeight="1">
      <c r="B546" s="10" t="s">
        <v>622</v>
      </c>
      <c r="C546" s="10" t="s">
        <v>177</v>
      </c>
      <c r="D546" s="49">
        <v>11.0</v>
      </c>
      <c r="E546" s="65">
        <v>28.0</v>
      </c>
      <c r="F546" s="65">
        <v>25.0</v>
      </c>
      <c r="G546" s="27">
        <v>16.636</v>
      </c>
      <c r="H546" s="27">
        <v>37.0</v>
      </c>
      <c r="I546" s="27">
        <v>35.939</v>
      </c>
      <c r="J546" s="27">
        <v>67.697</v>
      </c>
      <c r="K546" s="27">
        <v>65.879</v>
      </c>
    </row>
    <row r="547" ht="15.75" customHeight="1">
      <c r="B547" s="10" t="s">
        <v>623</v>
      </c>
      <c r="C547" s="10" t="s">
        <v>166</v>
      </c>
      <c r="D547" s="49">
        <v>15.0</v>
      </c>
      <c r="E547" s="65">
        <v>25.0</v>
      </c>
      <c r="F547" s="65">
        <v>37.0</v>
      </c>
      <c r="G547" s="27">
        <v>-19.333</v>
      </c>
      <c r="H547" s="27">
        <v>10.822</v>
      </c>
      <c r="I547" s="27">
        <v>25.467</v>
      </c>
      <c r="J547" s="27">
        <v>40.156</v>
      </c>
      <c r="K547" s="27">
        <v>74.033</v>
      </c>
    </row>
    <row r="548" ht="15.75" customHeight="1">
      <c r="B548" s="10" t="s">
        <v>624</v>
      </c>
      <c r="C548" s="10" t="s">
        <v>169</v>
      </c>
      <c r="D548" s="49">
        <v>117.0</v>
      </c>
      <c r="E548" s="65">
        <v>9.0</v>
      </c>
      <c r="F548" s="65">
        <v>9.0</v>
      </c>
      <c r="G548" s="27">
        <v>67.943</v>
      </c>
      <c r="H548" s="27">
        <v>84.198</v>
      </c>
      <c r="I548" s="27">
        <v>88.218</v>
      </c>
      <c r="J548" s="27">
        <v>91.241</v>
      </c>
      <c r="K548" s="27">
        <v>93.279</v>
      </c>
    </row>
    <row r="549" ht="15.75" customHeight="1">
      <c r="B549" s="10" t="s">
        <v>625</v>
      </c>
      <c r="C549" s="10" t="s">
        <v>182</v>
      </c>
      <c r="D549" s="49">
        <v>11.0</v>
      </c>
      <c r="E549" s="65">
        <v>9.0</v>
      </c>
      <c r="F549" s="65">
        <v>34.0</v>
      </c>
      <c r="G549" s="27">
        <v>16.697</v>
      </c>
      <c r="H549" s="27">
        <v>26.273</v>
      </c>
      <c r="I549" s="27">
        <v>25.0</v>
      </c>
      <c r="J549" s="27">
        <v>36.636</v>
      </c>
      <c r="K549" s="27">
        <v>59.545</v>
      </c>
    </row>
    <row r="550" ht="15.75" customHeight="1">
      <c r="B550" s="10" t="s">
        <v>626</v>
      </c>
      <c r="C550" s="10" t="s">
        <v>176</v>
      </c>
      <c r="D550" s="49">
        <v>12.0</v>
      </c>
      <c r="E550" s="65">
        <v>11.0</v>
      </c>
      <c r="F550" s="65">
        <v>11.0</v>
      </c>
      <c r="G550" s="27">
        <v>43.111</v>
      </c>
      <c r="H550" s="27">
        <v>72.5</v>
      </c>
      <c r="I550" s="27">
        <v>72.111</v>
      </c>
      <c r="J550" s="27">
        <v>91.722</v>
      </c>
      <c r="K550" s="27">
        <v>91.722</v>
      </c>
    </row>
    <row r="551" ht="15.75" customHeight="1">
      <c r="B551" s="10" t="s">
        <v>627</v>
      </c>
      <c r="C551" s="10" t="s">
        <v>174</v>
      </c>
      <c r="D551" s="49">
        <v>15.0</v>
      </c>
      <c r="E551" s="65">
        <v>12.0</v>
      </c>
      <c r="F551" s="65">
        <v>11.0</v>
      </c>
      <c r="G551" s="27">
        <v>37.378</v>
      </c>
      <c r="H551" s="27">
        <v>76.711</v>
      </c>
      <c r="I551" s="27">
        <v>84.422</v>
      </c>
      <c r="J551" s="27">
        <v>84.222</v>
      </c>
      <c r="K551" s="27">
        <v>83.556</v>
      </c>
    </row>
    <row r="552" ht="15.75" customHeight="1">
      <c r="B552" s="10" t="s">
        <v>628</v>
      </c>
      <c r="C552" s="10" t="s">
        <v>170</v>
      </c>
      <c r="D552" s="49">
        <v>18.0</v>
      </c>
      <c r="E552" s="65">
        <v>10.0</v>
      </c>
      <c r="F552" s="65">
        <v>10.0</v>
      </c>
      <c r="G552" s="27">
        <v>33.148</v>
      </c>
      <c r="H552" s="27">
        <v>79.259</v>
      </c>
      <c r="I552" s="27">
        <v>79.0</v>
      </c>
      <c r="J552" s="27">
        <v>78.667</v>
      </c>
      <c r="K552" s="27">
        <v>77.556</v>
      </c>
    </row>
    <row r="553" ht="15.75" customHeight="1">
      <c r="B553" s="10" t="s">
        <v>629</v>
      </c>
      <c r="C553" s="10" t="s">
        <v>167</v>
      </c>
      <c r="D553" s="49">
        <v>10.0</v>
      </c>
      <c r="E553" s="65">
        <v>10.0</v>
      </c>
      <c r="F553" s="65">
        <v>54.0</v>
      </c>
      <c r="G553" s="27">
        <v>-27.333</v>
      </c>
      <c r="H553" s="27">
        <v>6.767</v>
      </c>
      <c r="I553" s="27">
        <v>17.233</v>
      </c>
      <c r="J553" s="27">
        <v>27.6</v>
      </c>
      <c r="K553" s="27">
        <v>72.033</v>
      </c>
    </row>
    <row r="554" ht="15.75" customHeight="1">
      <c r="B554" s="10" t="s">
        <v>630</v>
      </c>
      <c r="C554" s="10" t="s">
        <v>176</v>
      </c>
      <c r="D554" s="49">
        <v>11.0</v>
      </c>
      <c r="E554" s="65">
        <v>22.0</v>
      </c>
      <c r="F554" s="65">
        <v>18.0</v>
      </c>
      <c r="G554" s="27">
        <v>27.758</v>
      </c>
      <c r="H554" s="27">
        <v>26.485</v>
      </c>
      <c r="I554" s="27">
        <v>51.721</v>
      </c>
      <c r="J554" s="27">
        <v>64.121</v>
      </c>
      <c r="K554" s="27">
        <v>61.939</v>
      </c>
    </row>
    <row r="555" ht="15.75" customHeight="1">
      <c r="B555" s="10" t="s">
        <v>631</v>
      </c>
      <c r="C555" s="10" t="s">
        <v>602</v>
      </c>
      <c r="D555" s="49">
        <v>15.0</v>
      </c>
      <c r="E555" s="65">
        <v>14.0</v>
      </c>
      <c r="F555" s="65">
        <v>12.0</v>
      </c>
      <c r="G555" s="27">
        <v>9.974</v>
      </c>
      <c r="H555" s="27">
        <v>73.462</v>
      </c>
      <c r="I555" s="27">
        <v>73.103</v>
      </c>
      <c r="J555" s="27">
        <v>72.641</v>
      </c>
      <c r="K555" s="27">
        <v>80.333</v>
      </c>
    </row>
    <row r="556" ht="15.75" customHeight="1">
      <c r="B556" s="10" t="s">
        <v>632</v>
      </c>
      <c r="C556" s="10" t="s">
        <v>171</v>
      </c>
      <c r="D556" s="49">
        <v>24.0</v>
      </c>
      <c r="E556" s="65">
        <v>15.0</v>
      </c>
      <c r="F556" s="65">
        <v>13.0</v>
      </c>
      <c r="G556" s="27">
        <v>48.597</v>
      </c>
      <c r="H556" s="27">
        <v>77.944</v>
      </c>
      <c r="I556" s="27">
        <v>82.736</v>
      </c>
      <c r="J556" s="27">
        <v>87.583</v>
      </c>
      <c r="K556" s="27">
        <v>87.167</v>
      </c>
    </row>
    <row r="557" ht="15.75" customHeight="1">
      <c r="B557" s="10" t="s">
        <v>633</v>
      </c>
      <c r="C557" s="10" t="s">
        <v>171</v>
      </c>
      <c r="D557" s="49">
        <v>34.0</v>
      </c>
      <c r="E557" s="65">
        <v>6.0</v>
      </c>
      <c r="F557" s="65">
        <v>11.0</v>
      </c>
      <c r="G557" s="27">
        <v>56.554</v>
      </c>
      <c r="H557" s="27">
        <v>65.137</v>
      </c>
      <c r="I557" s="27">
        <v>64.596</v>
      </c>
      <c r="J557" s="27">
        <v>73.282</v>
      </c>
      <c r="K557" s="27">
        <v>71.738</v>
      </c>
    </row>
    <row r="558" ht="15.75" customHeight="1">
      <c r="B558" s="10" t="s">
        <v>634</v>
      </c>
      <c r="C558" s="10" t="s">
        <v>180</v>
      </c>
      <c r="D558" s="49">
        <v>12.0</v>
      </c>
      <c r="E558" s="65">
        <v>25.0</v>
      </c>
      <c r="F558" s="65">
        <v>24.0</v>
      </c>
      <c r="G558" s="27">
        <v>43.361</v>
      </c>
      <c r="H558" s="27">
        <v>42.389</v>
      </c>
      <c r="I558" s="27">
        <v>51.583</v>
      </c>
      <c r="J558" s="27">
        <v>70.889</v>
      </c>
      <c r="K558" s="27">
        <v>69.222</v>
      </c>
    </row>
    <row r="559" ht="15.75" customHeight="1">
      <c r="B559" s="10" t="s">
        <v>635</v>
      </c>
      <c r="C559" s="10" t="s">
        <v>166</v>
      </c>
      <c r="D559" s="49">
        <v>23.0</v>
      </c>
      <c r="E559" s="65">
        <v>13.0</v>
      </c>
      <c r="F559" s="65">
        <v>13.0</v>
      </c>
      <c r="G559" s="27">
        <v>27.818</v>
      </c>
      <c r="H559" s="27">
        <v>76.091</v>
      </c>
      <c r="I559" s="27">
        <v>81.227</v>
      </c>
      <c r="J559" s="27">
        <v>80.955</v>
      </c>
      <c r="K559" s="27">
        <v>91.439</v>
      </c>
    </row>
    <row r="560" ht="15.75" customHeight="1">
      <c r="B560" s="10" t="s">
        <v>636</v>
      </c>
      <c r="C560" s="10" t="s">
        <v>177</v>
      </c>
      <c r="D560" s="49">
        <v>18.0</v>
      </c>
      <c r="E560" s="65">
        <v>24.0</v>
      </c>
      <c r="F560" s="65">
        <v>16.0</v>
      </c>
      <c r="G560" s="27">
        <v>6.296</v>
      </c>
      <c r="H560" s="27">
        <v>51.759</v>
      </c>
      <c r="I560" s="27">
        <v>64.463</v>
      </c>
      <c r="J560" s="27">
        <v>77.389</v>
      </c>
      <c r="K560" s="27">
        <v>76.278</v>
      </c>
    </row>
    <row r="561" ht="15.75" customHeight="1">
      <c r="B561" s="10" t="s">
        <v>637</v>
      </c>
      <c r="C561" s="10" t="s">
        <v>178</v>
      </c>
      <c r="D561" s="49">
        <v>11.0</v>
      </c>
      <c r="E561" s="65">
        <v>20.0</v>
      </c>
      <c r="F561" s="65">
        <v>20.0</v>
      </c>
      <c r="G561" s="27">
        <v>-4.121</v>
      </c>
      <c r="H561" s="27">
        <v>18.404</v>
      </c>
      <c r="I561" s="27">
        <v>78.034</v>
      </c>
      <c r="J561" s="27">
        <v>77.731</v>
      </c>
      <c r="K561" s="27">
        <v>89.515</v>
      </c>
    </row>
    <row r="562" ht="15.75" customHeight="1">
      <c r="B562" s="10" t="s">
        <v>638</v>
      </c>
      <c r="C562" s="10" t="s">
        <v>176</v>
      </c>
      <c r="D562" s="49">
        <v>120.0</v>
      </c>
      <c r="E562" s="65">
        <v>7.0</v>
      </c>
      <c r="F562" s="65">
        <v>6.0</v>
      </c>
      <c r="G562" s="27">
        <v>78.139</v>
      </c>
      <c r="H562" s="27">
        <v>78.842</v>
      </c>
      <c r="I562" s="27">
        <v>83.597</v>
      </c>
      <c r="J562" s="27">
        <v>84.369</v>
      </c>
      <c r="K562" s="27">
        <v>87.631</v>
      </c>
    </row>
    <row r="563" ht="15.75" customHeight="1">
      <c r="B563" s="10" t="s">
        <v>639</v>
      </c>
      <c r="C563" s="10" t="s">
        <v>170</v>
      </c>
      <c r="D563" s="49">
        <v>12.0</v>
      </c>
      <c r="E563" s="65">
        <v>27.0</v>
      </c>
      <c r="F563" s="65">
        <v>27.0</v>
      </c>
      <c r="G563" s="27">
        <v>-0.481</v>
      </c>
      <c r="H563" s="27">
        <v>24.778</v>
      </c>
      <c r="I563" s="27">
        <v>37.037</v>
      </c>
      <c r="J563" s="27">
        <v>62.63</v>
      </c>
      <c r="K563" s="27">
        <v>74.037</v>
      </c>
    </row>
    <row r="564" ht="15.75" customHeight="1">
      <c r="B564" s="10" t="s">
        <v>640</v>
      </c>
      <c r="C564" s="10" t="s">
        <v>179</v>
      </c>
      <c r="D564" s="49">
        <v>17.0</v>
      </c>
      <c r="E564" s="65">
        <v>16.0</v>
      </c>
      <c r="F564" s="65">
        <v>16.0</v>
      </c>
      <c r="G564" s="27">
        <v>9.752</v>
      </c>
      <c r="H564" s="27">
        <v>46.265</v>
      </c>
      <c r="I564" s="27">
        <v>60.718</v>
      </c>
      <c r="J564" s="27">
        <v>67.567</v>
      </c>
      <c r="K564" s="27">
        <v>65.676</v>
      </c>
    </row>
    <row r="565" ht="15.75" customHeight="1">
      <c r="B565" s="10" t="s">
        <v>641</v>
      </c>
      <c r="C565" s="10" t="s">
        <v>228</v>
      </c>
      <c r="D565" s="49">
        <v>14.0</v>
      </c>
      <c r="E565" s="65">
        <v>12.0</v>
      </c>
      <c r="F565" s="65">
        <v>12.0</v>
      </c>
      <c r="G565" s="27">
        <v>24.714</v>
      </c>
      <c r="H565" s="27">
        <v>66.524</v>
      </c>
      <c r="I565" s="27">
        <v>66.024</v>
      </c>
      <c r="J565" s="27">
        <v>65.381</v>
      </c>
      <c r="K565" s="27">
        <v>63.238</v>
      </c>
    </row>
    <row r="566" ht="15.75" customHeight="1">
      <c r="B566" s="10" t="s">
        <v>801</v>
      </c>
      <c r="C566" s="10" t="s">
        <v>228</v>
      </c>
      <c r="D566" s="49">
        <v>10.0</v>
      </c>
      <c r="E566" s="65">
        <v>1.0</v>
      </c>
      <c r="F566" s="65">
        <v>1.0</v>
      </c>
      <c r="G566" s="27">
        <v>-27.333</v>
      </c>
      <c r="H566" s="27">
        <v>-29.667</v>
      </c>
      <c r="I566" s="27">
        <v>-32.0</v>
      </c>
      <c r="J566" s="27">
        <v>-35.0</v>
      </c>
      <c r="K566" s="27">
        <v>-45.0</v>
      </c>
    </row>
    <row r="567" ht="15.75" customHeight="1">
      <c r="B567" s="10" t="s">
        <v>642</v>
      </c>
      <c r="C567" s="10" t="s">
        <v>180</v>
      </c>
      <c r="D567" s="49">
        <v>26.0</v>
      </c>
      <c r="E567" s="65">
        <v>16.0</v>
      </c>
      <c r="F567" s="65">
        <v>27.0</v>
      </c>
      <c r="G567" s="27">
        <v>38.013</v>
      </c>
      <c r="H567" s="27">
        <v>50.923</v>
      </c>
      <c r="I567" s="27">
        <v>64.103</v>
      </c>
      <c r="J567" s="27">
        <v>77.308</v>
      </c>
      <c r="K567" s="27">
        <v>85.744</v>
      </c>
    </row>
    <row r="568" ht="15.75" customHeight="1">
      <c r="B568" s="10" t="s">
        <v>643</v>
      </c>
      <c r="C568" s="10" t="s">
        <v>180</v>
      </c>
      <c r="D568" s="49">
        <v>12.0</v>
      </c>
      <c r="E568" s="65">
        <v>2.0</v>
      </c>
      <c r="F568" s="65">
        <v>56.0</v>
      </c>
      <c r="G568" s="27">
        <v>-17.194</v>
      </c>
      <c r="H568" s="27">
        <v>-19.333</v>
      </c>
      <c r="I568" s="27">
        <v>-21.472</v>
      </c>
      <c r="J568" s="27">
        <v>-24.222</v>
      </c>
      <c r="K568" s="27">
        <v>-2.083</v>
      </c>
    </row>
    <row r="569" ht="15.75" customHeight="1">
      <c r="B569" s="10" t="s">
        <v>644</v>
      </c>
      <c r="C569" s="10" t="s">
        <v>171</v>
      </c>
      <c r="D569" s="49">
        <v>11.0</v>
      </c>
      <c r="E569" s="65">
        <v>18.0</v>
      </c>
      <c r="F569" s="65">
        <v>18.0</v>
      </c>
      <c r="G569" s="27">
        <v>5.879</v>
      </c>
      <c r="H569" s="27">
        <v>48.152</v>
      </c>
      <c r="I569" s="27">
        <v>61.97</v>
      </c>
      <c r="J569" s="27">
        <v>61.242</v>
      </c>
      <c r="K569" s="27">
        <v>74.374</v>
      </c>
    </row>
    <row r="570" ht="15.75" customHeight="1">
      <c r="B570" s="10" t="s">
        <v>645</v>
      </c>
      <c r="C570" s="10" t="s">
        <v>169</v>
      </c>
      <c r="D570" s="49">
        <v>20.0</v>
      </c>
      <c r="E570" s="65">
        <v>38.0</v>
      </c>
      <c r="F570" s="65">
        <v>35.0</v>
      </c>
      <c r="G570" s="27">
        <v>-0.389</v>
      </c>
      <c r="H570" s="27">
        <v>31.37</v>
      </c>
      <c r="I570" s="27">
        <v>36.981</v>
      </c>
      <c r="J570" s="27">
        <v>55.926</v>
      </c>
      <c r="K570" s="27">
        <v>88.741</v>
      </c>
    </row>
    <row r="571" ht="15.75" customHeight="1">
      <c r="B571" s="10" t="s">
        <v>646</v>
      </c>
      <c r="C571" s="10" t="s">
        <v>166</v>
      </c>
      <c r="D571" s="49">
        <v>38.0</v>
      </c>
      <c r="E571" s="65">
        <v>12.0</v>
      </c>
      <c r="F571" s="65">
        <v>11.0</v>
      </c>
      <c r="G571" s="27">
        <v>57.838</v>
      </c>
      <c r="H571" s="27">
        <v>80.099</v>
      </c>
      <c r="I571" s="27">
        <v>79.847</v>
      </c>
      <c r="J571" s="27">
        <v>86.045</v>
      </c>
      <c r="K571" s="27">
        <v>92.297</v>
      </c>
    </row>
    <row r="572" ht="15.75" customHeight="1">
      <c r="B572" s="10" t="s">
        <v>647</v>
      </c>
      <c r="C572" s="10" t="s">
        <v>169</v>
      </c>
      <c r="D572" s="49">
        <v>23.0</v>
      </c>
      <c r="E572" s="65">
        <v>14.0</v>
      </c>
      <c r="F572" s="65">
        <v>32.0</v>
      </c>
      <c r="G572" s="27">
        <v>20.116</v>
      </c>
      <c r="H572" s="27">
        <v>54.391</v>
      </c>
      <c r="I572" s="27">
        <v>53.658</v>
      </c>
      <c r="J572" s="27">
        <v>62.215</v>
      </c>
      <c r="K572" s="27">
        <v>89.298</v>
      </c>
    </row>
    <row r="573" ht="15.75" customHeight="1">
      <c r="B573" s="10" t="s">
        <v>648</v>
      </c>
      <c r="C573" s="10" t="s">
        <v>175</v>
      </c>
      <c r="D573" s="49">
        <v>11.0</v>
      </c>
      <c r="E573" s="65">
        <v>22.0</v>
      </c>
      <c r="F573" s="65">
        <v>22.0</v>
      </c>
      <c r="G573" s="27">
        <v>5.606</v>
      </c>
      <c r="H573" s="27">
        <v>36.788</v>
      </c>
      <c r="I573" s="27">
        <v>46.697</v>
      </c>
      <c r="J573" s="27">
        <v>56.758</v>
      </c>
      <c r="K573" s="27">
        <v>65.758</v>
      </c>
    </row>
    <row r="574" ht="15.75" customHeight="1">
      <c r="B574" s="10" t="s">
        <v>649</v>
      </c>
      <c r="C574" s="10" t="s">
        <v>174</v>
      </c>
      <c r="D574" s="49">
        <v>18.0</v>
      </c>
      <c r="E574" s="65">
        <v>24.0</v>
      </c>
      <c r="F574" s="65">
        <v>23.0</v>
      </c>
      <c r="G574" s="27">
        <v>26.37</v>
      </c>
      <c r="H574" s="27">
        <v>52.056</v>
      </c>
      <c r="I574" s="27">
        <v>51.278</v>
      </c>
      <c r="J574" s="27">
        <v>77.426</v>
      </c>
      <c r="K574" s="27">
        <v>76.315</v>
      </c>
    </row>
    <row r="575" ht="15.75" customHeight="1">
      <c r="B575" s="10" t="s">
        <v>650</v>
      </c>
      <c r="C575" s="10" t="s">
        <v>169</v>
      </c>
      <c r="D575" s="49">
        <v>15.0</v>
      </c>
      <c r="E575" s="65">
        <v>27.0</v>
      </c>
      <c r="F575" s="65">
        <v>19.0</v>
      </c>
      <c r="G575" s="27">
        <v>29.378</v>
      </c>
      <c r="H575" s="27">
        <v>44.333</v>
      </c>
      <c r="I575" s="27">
        <v>51.444</v>
      </c>
      <c r="J575" s="27">
        <v>66.622</v>
      </c>
      <c r="K575" s="27">
        <v>64.622</v>
      </c>
    </row>
    <row r="576" ht="15.75" customHeight="1">
      <c r="B576" s="10" t="s">
        <v>651</v>
      </c>
      <c r="C576" s="10" t="s">
        <v>171</v>
      </c>
      <c r="D576" s="49">
        <v>12.0</v>
      </c>
      <c r="E576" s="65">
        <v>35.0</v>
      </c>
      <c r="F576" s="65">
        <v>35.0</v>
      </c>
      <c r="G576" s="27">
        <v>-17.222</v>
      </c>
      <c r="H576" s="27">
        <v>2.822</v>
      </c>
      <c r="I576" s="27">
        <v>12.294</v>
      </c>
      <c r="J576" s="27">
        <v>54.522</v>
      </c>
      <c r="K576" s="27">
        <v>75.025</v>
      </c>
    </row>
    <row r="577" ht="15.75" customHeight="1">
      <c r="B577" s="10" t="s">
        <v>652</v>
      </c>
      <c r="C577" s="10" t="s">
        <v>172</v>
      </c>
      <c r="D577" s="49">
        <v>22.0</v>
      </c>
      <c r="E577" s="65">
        <v>19.0</v>
      </c>
      <c r="F577" s="65">
        <v>19.0</v>
      </c>
      <c r="G577" s="27">
        <v>26.847</v>
      </c>
      <c r="H577" s="27">
        <v>43.739</v>
      </c>
      <c r="I577" s="27">
        <v>60.999</v>
      </c>
      <c r="J577" s="27">
        <v>66.346</v>
      </c>
      <c r="K577" s="27">
        <v>77.323</v>
      </c>
    </row>
    <row r="578" ht="15.75" customHeight="1">
      <c r="B578" s="10" t="s">
        <v>653</v>
      </c>
      <c r="C578" s="10" t="s">
        <v>182</v>
      </c>
      <c r="D578" s="49">
        <v>20.0</v>
      </c>
      <c r="E578" s="65">
        <v>9.0</v>
      </c>
      <c r="F578" s="65">
        <v>9.0</v>
      </c>
      <c r="G578" s="27">
        <v>51.3</v>
      </c>
      <c r="H578" s="27">
        <v>74.75</v>
      </c>
      <c r="I578" s="27">
        <v>74.4</v>
      </c>
      <c r="J578" s="27">
        <v>73.95</v>
      </c>
      <c r="K578" s="27">
        <v>78.783</v>
      </c>
    </row>
    <row r="579" ht="15.75" customHeight="1">
      <c r="B579" s="10" t="s">
        <v>654</v>
      </c>
      <c r="C579" s="10" t="s">
        <v>172</v>
      </c>
      <c r="D579" s="49">
        <v>10.0</v>
      </c>
      <c r="E579" s="65">
        <v>36.0</v>
      </c>
      <c r="F579" s="65">
        <v>36.0</v>
      </c>
      <c r="G579" s="27">
        <v>21.167</v>
      </c>
      <c r="H579" s="27">
        <v>19.767</v>
      </c>
      <c r="I579" s="27">
        <v>42.6</v>
      </c>
      <c r="J579" s="27">
        <v>53.467</v>
      </c>
      <c r="K579" s="27">
        <v>76.067</v>
      </c>
    </row>
    <row r="580" ht="15.75" customHeight="1">
      <c r="B580" s="10" t="s">
        <v>655</v>
      </c>
      <c r="C580" s="10" t="s">
        <v>178</v>
      </c>
      <c r="D580" s="49">
        <v>14.0</v>
      </c>
      <c r="E580" s="65">
        <v>5.0</v>
      </c>
      <c r="F580" s="65">
        <v>28.0</v>
      </c>
      <c r="G580" s="27">
        <v>50.738</v>
      </c>
      <c r="H580" s="27">
        <v>49.905</v>
      </c>
      <c r="I580" s="27">
        <v>49.071</v>
      </c>
      <c r="J580" s="27">
        <v>91.238</v>
      </c>
      <c r="K580" s="27">
        <v>91.238</v>
      </c>
    </row>
    <row r="581" ht="15.75" customHeight="1">
      <c r="B581" s="10" t="s">
        <v>656</v>
      </c>
      <c r="C581" s="10" t="s">
        <v>184</v>
      </c>
      <c r="D581" s="49">
        <v>12.0</v>
      </c>
      <c r="E581" s="65">
        <v>19.0</v>
      </c>
      <c r="F581" s="65">
        <v>44.0</v>
      </c>
      <c r="G581" s="27">
        <v>-7.083</v>
      </c>
      <c r="H581" s="27">
        <v>0.972</v>
      </c>
      <c r="I581" s="27">
        <v>47.694</v>
      </c>
      <c r="J581" s="27">
        <v>46.644</v>
      </c>
      <c r="K581" s="27">
        <v>87.322</v>
      </c>
    </row>
    <row r="582" ht="15.75" customHeight="1">
      <c r="B582" s="10" t="s">
        <v>657</v>
      </c>
      <c r="C582" s="10" t="s">
        <v>170</v>
      </c>
      <c r="D582" s="49">
        <v>18.0</v>
      </c>
      <c r="E582" s="65">
        <v>13.0</v>
      </c>
      <c r="F582" s="65">
        <v>52.0</v>
      </c>
      <c r="G582" s="27">
        <v>0.37</v>
      </c>
      <c r="H582" s="27">
        <v>20.856</v>
      </c>
      <c r="I582" s="27">
        <v>19.487</v>
      </c>
      <c r="J582" s="27">
        <v>25.723</v>
      </c>
      <c r="K582" s="27">
        <v>76.916</v>
      </c>
    </row>
    <row r="583" ht="15.75" customHeight="1">
      <c r="B583" s="10" t="s">
        <v>658</v>
      </c>
      <c r="C583" s="10" t="s">
        <v>177</v>
      </c>
      <c r="D583" s="49">
        <v>13.0</v>
      </c>
      <c r="E583" s="65">
        <v>22.0</v>
      </c>
      <c r="F583" s="65">
        <v>22.0</v>
      </c>
      <c r="G583" s="27">
        <v>19.256</v>
      </c>
      <c r="H583" s="27">
        <v>36.513</v>
      </c>
      <c r="I583" s="27">
        <v>54.051</v>
      </c>
      <c r="J583" s="27">
        <v>62.564</v>
      </c>
      <c r="K583" s="27">
        <v>79.949</v>
      </c>
    </row>
    <row r="584" ht="15.75" customHeight="1">
      <c r="B584" s="10" t="s">
        <v>659</v>
      </c>
      <c r="C584" s="10" t="s">
        <v>660</v>
      </c>
      <c r="D584" s="49">
        <v>26.0</v>
      </c>
      <c r="E584" s="65">
        <v>13.0</v>
      </c>
      <c r="F584" s="65">
        <v>13.0</v>
      </c>
      <c r="G584" s="27">
        <v>52.064</v>
      </c>
      <c r="H584" s="27">
        <v>88.41</v>
      </c>
      <c r="I584" s="27">
        <v>88.321</v>
      </c>
      <c r="J584" s="27">
        <v>92.859</v>
      </c>
      <c r="K584" s="27">
        <v>92.859</v>
      </c>
    </row>
    <row r="585" ht="15.75" customHeight="1">
      <c r="B585" s="10" t="s">
        <v>661</v>
      </c>
      <c r="C585" s="10" t="s">
        <v>172</v>
      </c>
      <c r="D585" s="49">
        <v>18.0</v>
      </c>
      <c r="E585" s="65">
        <v>31.0</v>
      </c>
      <c r="F585" s="65">
        <v>29.0</v>
      </c>
      <c r="G585" s="27">
        <v>-5.98</v>
      </c>
      <c r="H585" s="27">
        <v>20.627</v>
      </c>
      <c r="I585" s="27">
        <v>40.569</v>
      </c>
      <c r="J585" s="27">
        <v>67.784</v>
      </c>
      <c r="K585" s="27">
        <v>73.647</v>
      </c>
    </row>
    <row r="586" ht="15.75" customHeight="1">
      <c r="B586" s="10" t="s">
        <v>662</v>
      </c>
      <c r="C586" s="10" t="s">
        <v>185</v>
      </c>
      <c r="D586" s="49">
        <v>45.0</v>
      </c>
      <c r="E586" s="65">
        <v>15.0</v>
      </c>
      <c r="F586" s="65">
        <v>17.0</v>
      </c>
      <c r="G586" s="27">
        <v>39.676</v>
      </c>
      <c r="H586" s="27">
        <v>64.282</v>
      </c>
      <c r="I586" s="27">
        <v>77.997</v>
      </c>
      <c r="J586" s="27">
        <v>89.06</v>
      </c>
      <c r="K586" s="27">
        <v>88.825</v>
      </c>
    </row>
    <row r="587" ht="15.75" customHeight="1">
      <c r="B587" s="10" t="s">
        <v>664</v>
      </c>
      <c r="C587" s="10" t="s">
        <v>174</v>
      </c>
      <c r="D587" s="49">
        <v>18.0</v>
      </c>
      <c r="E587" s="65">
        <v>10.0</v>
      </c>
      <c r="F587" s="65">
        <v>10.0</v>
      </c>
      <c r="G587" s="27">
        <v>43.272</v>
      </c>
      <c r="H587" s="27">
        <v>71.163</v>
      </c>
      <c r="I587" s="27">
        <v>77.919</v>
      </c>
      <c r="J587" s="27">
        <v>84.714</v>
      </c>
      <c r="K587" s="27">
        <v>91.548</v>
      </c>
    </row>
    <row r="588" ht="15.75" customHeight="1">
      <c r="B588" s="10" t="s">
        <v>665</v>
      </c>
      <c r="C588" s="10" t="s">
        <v>666</v>
      </c>
      <c r="D588" s="49">
        <v>14.0</v>
      </c>
      <c r="E588" s="65">
        <v>32.0</v>
      </c>
      <c r="F588" s="65">
        <v>29.0</v>
      </c>
      <c r="G588" s="27">
        <v>-1.452</v>
      </c>
      <c r="H588" s="27">
        <v>22.762</v>
      </c>
      <c r="I588" s="27">
        <v>47.333</v>
      </c>
      <c r="J588" s="27">
        <v>63.452</v>
      </c>
      <c r="K588" s="27">
        <v>75.167</v>
      </c>
    </row>
    <row r="589" ht="15.75" customHeight="1">
      <c r="B589" s="10" t="s">
        <v>667</v>
      </c>
      <c r="C589" s="10" t="s">
        <v>174</v>
      </c>
      <c r="D589" s="49">
        <v>15.0</v>
      </c>
      <c r="E589" s="65">
        <v>32.0</v>
      </c>
      <c r="F589" s="65">
        <v>32.0</v>
      </c>
      <c r="G589" s="27">
        <v>-19.333</v>
      </c>
      <c r="H589" s="27">
        <v>2.711</v>
      </c>
      <c r="I589" s="27">
        <v>9.044</v>
      </c>
      <c r="J589" s="27">
        <v>31.222</v>
      </c>
      <c r="K589" s="27">
        <v>60.578</v>
      </c>
    </row>
    <row r="590" ht="15.75" customHeight="1">
      <c r="B590" s="10" t="s">
        <v>668</v>
      </c>
      <c r="C590" s="10" t="s">
        <v>171</v>
      </c>
      <c r="D590" s="49">
        <v>30.0</v>
      </c>
      <c r="E590" s="65">
        <v>14.0</v>
      </c>
      <c r="F590" s="65">
        <v>14.0</v>
      </c>
      <c r="G590" s="27">
        <v>21.256</v>
      </c>
      <c r="H590" s="27">
        <v>35.944</v>
      </c>
      <c r="I590" s="27">
        <v>38.867</v>
      </c>
      <c r="J590" s="27">
        <v>45.678</v>
      </c>
      <c r="K590" s="27">
        <v>42.011</v>
      </c>
    </row>
    <row r="591" ht="15.75" customHeight="1">
      <c r="B591" s="10" t="s">
        <v>669</v>
      </c>
      <c r="C591" s="10" t="s">
        <v>174</v>
      </c>
      <c r="D591" s="49">
        <v>16.0</v>
      </c>
      <c r="E591" s="65">
        <v>42.0</v>
      </c>
      <c r="F591" s="65">
        <v>41.0</v>
      </c>
      <c r="G591" s="27">
        <v>3.734</v>
      </c>
      <c r="H591" s="27">
        <v>18.427</v>
      </c>
      <c r="I591" s="27">
        <v>17.005</v>
      </c>
      <c r="J591" s="27">
        <v>31.675</v>
      </c>
      <c r="K591" s="27">
        <v>61.264</v>
      </c>
    </row>
    <row r="592" ht="15.75" customHeight="1">
      <c r="B592" s="10" t="s">
        <v>670</v>
      </c>
      <c r="C592" s="10" t="s">
        <v>172</v>
      </c>
      <c r="D592" s="49">
        <v>12.0</v>
      </c>
      <c r="E592" s="65">
        <v>9.0</v>
      </c>
      <c r="F592" s="65">
        <v>25.0</v>
      </c>
      <c r="G592" s="27">
        <v>23.194</v>
      </c>
      <c r="H592" s="27">
        <v>31.972</v>
      </c>
      <c r="I592" s="27">
        <v>30.806</v>
      </c>
      <c r="J592" s="27">
        <v>59.611</v>
      </c>
      <c r="K592" s="27">
        <v>67.833</v>
      </c>
    </row>
    <row r="593" ht="15.75" customHeight="1">
      <c r="B593" s="10" t="s">
        <v>671</v>
      </c>
      <c r="C593" s="10" t="s">
        <v>174</v>
      </c>
      <c r="D593" s="49">
        <v>10.0</v>
      </c>
      <c r="E593" s="65">
        <v>13.0</v>
      </c>
      <c r="F593" s="65">
        <v>36.0</v>
      </c>
      <c r="G593" s="27">
        <v>-3.133</v>
      </c>
      <c r="H593" s="27">
        <v>43.367</v>
      </c>
      <c r="I593" s="27">
        <v>42.433</v>
      </c>
      <c r="J593" s="27">
        <v>53.5</v>
      </c>
      <c r="K593" s="27">
        <v>76.033</v>
      </c>
    </row>
    <row r="594" ht="15.75" customHeight="1">
      <c r="B594" s="10" t="s">
        <v>672</v>
      </c>
      <c r="C594" s="10" t="s">
        <v>180</v>
      </c>
      <c r="D594" s="49">
        <v>11.0</v>
      </c>
      <c r="E594" s="65">
        <v>15.0</v>
      </c>
      <c r="F594" s="65">
        <v>47.0</v>
      </c>
      <c r="G594" s="27">
        <v>-5.364</v>
      </c>
      <c r="H594" s="27">
        <v>3.758</v>
      </c>
      <c r="I594" s="27">
        <v>13.152</v>
      </c>
      <c r="J594" s="27">
        <v>11.242</v>
      </c>
      <c r="K594" s="27">
        <v>39.152</v>
      </c>
    </row>
    <row r="595" ht="15.75" customHeight="1">
      <c r="B595" s="10" t="s">
        <v>673</v>
      </c>
      <c r="C595" s="10" t="s">
        <v>166</v>
      </c>
      <c r="D595" s="49">
        <v>22.0</v>
      </c>
      <c r="E595" s="65">
        <v>25.0</v>
      </c>
      <c r="F595" s="65">
        <v>45.0</v>
      </c>
      <c r="G595" s="27">
        <v>16.712</v>
      </c>
      <c r="H595" s="27">
        <v>42.788</v>
      </c>
      <c r="I595" s="27">
        <v>52.864</v>
      </c>
      <c r="J595" s="27">
        <v>68.561</v>
      </c>
      <c r="K595" s="27">
        <v>88.788</v>
      </c>
    </row>
    <row r="596" ht="15.75" customHeight="1">
      <c r="B596" s="10" t="s">
        <v>674</v>
      </c>
      <c r="C596" s="10" t="s">
        <v>660</v>
      </c>
      <c r="D596" s="49">
        <v>10.0</v>
      </c>
      <c r="E596" s="65">
        <v>23.0</v>
      </c>
      <c r="F596" s="65">
        <v>20.0</v>
      </c>
      <c r="G596" s="27">
        <v>33.167</v>
      </c>
      <c r="H596" s="27">
        <v>47.208</v>
      </c>
      <c r="I596" s="27">
        <v>68.896</v>
      </c>
      <c r="J596" s="27">
        <v>91.271</v>
      </c>
      <c r="K596" s="27">
        <v>91.271</v>
      </c>
    </row>
    <row r="597" ht="15.75" customHeight="1">
      <c r="B597" s="10" t="s">
        <v>675</v>
      </c>
      <c r="C597" s="10" t="s">
        <v>178</v>
      </c>
      <c r="D597" s="49">
        <v>13.0</v>
      </c>
      <c r="E597" s="65">
        <v>5.0</v>
      </c>
      <c r="F597" s="65">
        <v>42.0</v>
      </c>
      <c r="G597" s="27">
        <v>38.051</v>
      </c>
      <c r="H597" s="27">
        <v>36.974</v>
      </c>
      <c r="I597" s="27">
        <v>45.256</v>
      </c>
      <c r="J597" s="27">
        <v>44.103</v>
      </c>
      <c r="K597" s="27">
        <v>88.782</v>
      </c>
    </row>
    <row r="598" ht="15.75" customHeight="1">
      <c r="B598" s="10" t="s">
        <v>676</v>
      </c>
      <c r="C598" s="10" t="s">
        <v>602</v>
      </c>
      <c r="D598" s="49">
        <v>10.0</v>
      </c>
      <c r="E598" s="65">
        <v>36.0</v>
      </c>
      <c r="F598" s="65">
        <v>53.0</v>
      </c>
      <c r="G598" s="27">
        <v>-27.333</v>
      </c>
      <c r="H598" s="27">
        <v>-29.667</v>
      </c>
      <c r="I598" s="27">
        <v>-19.867</v>
      </c>
      <c r="J598" s="27">
        <v>-22.567</v>
      </c>
      <c r="K598" s="27">
        <v>31.4</v>
      </c>
    </row>
    <row r="599" ht="15.75" customHeight="1">
      <c r="B599" s="10" t="s">
        <v>677</v>
      </c>
      <c r="C599" s="10" t="s">
        <v>174</v>
      </c>
      <c r="D599" s="49">
        <v>22.0</v>
      </c>
      <c r="E599" s="65">
        <v>9.0</v>
      </c>
      <c r="F599" s="65">
        <v>6.0</v>
      </c>
      <c r="G599" s="27">
        <v>75.515</v>
      </c>
      <c r="H599" s="27">
        <v>84.49</v>
      </c>
      <c r="I599" s="27">
        <v>84.311</v>
      </c>
      <c r="J599" s="27">
        <v>84.08</v>
      </c>
      <c r="K599" s="27">
        <v>83.313</v>
      </c>
    </row>
    <row r="600" ht="15.75" customHeight="1">
      <c r="B600" s="10" t="s">
        <v>678</v>
      </c>
      <c r="C600" s="10" t="s">
        <v>171</v>
      </c>
      <c r="D600" s="49">
        <v>10.0</v>
      </c>
      <c r="E600" s="65">
        <v>14.0</v>
      </c>
      <c r="F600" s="65">
        <v>36.0</v>
      </c>
      <c r="G600" s="27">
        <v>2.917</v>
      </c>
      <c r="H600" s="27">
        <v>31.208</v>
      </c>
      <c r="I600" s="27">
        <v>30.042</v>
      </c>
      <c r="J600" s="27">
        <v>28.542</v>
      </c>
      <c r="K600" s="27">
        <v>71.25</v>
      </c>
    </row>
    <row r="601" ht="15.75" customHeight="1">
      <c r="B601" s="10" t="s">
        <v>679</v>
      </c>
      <c r="C601" s="10" t="s">
        <v>183</v>
      </c>
      <c r="D601" s="49">
        <v>12.0</v>
      </c>
      <c r="E601" s="65">
        <v>10.0</v>
      </c>
      <c r="F601" s="65">
        <v>42.0</v>
      </c>
      <c r="G601" s="27">
        <v>16.727</v>
      </c>
      <c r="H601" s="27">
        <v>26.273</v>
      </c>
      <c r="I601" s="27">
        <v>36.061</v>
      </c>
      <c r="J601" s="27">
        <v>45.818</v>
      </c>
      <c r="K601" s="27">
        <v>88.0</v>
      </c>
    </row>
    <row r="602" ht="15.75" customHeight="1">
      <c r="B602" s="10" t="s">
        <v>680</v>
      </c>
      <c r="C602" s="10" t="s">
        <v>166</v>
      </c>
      <c r="D602" s="49">
        <v>69.0</v>
      </c>
      <c r="E602" s="65">
        <v>15.0</v>
      </c>
      <c r="F602" s="65">
        <v>12.0</v>
      </c>
      <c r="G602" s="27">
        <v>64.082</v>
      </c>
      <c r="H602" s="27">
        <v>87.722</v>
      </c>
      <c r="I602" s="27">
        <v>90.39</v>
      </c>
      <c r="J602" s="27">
        <v>93.104</v>
      </c>
      <c r="K602" s="27">
        <v>93.104</v>
      </c>
    </row>
    <row r="603" ht="15.75" customHeight="1">
      <c r="B603" s="10" t="s">
        <v>681</v>
      </c>
      <c r="C603" s="10" t="s">
        <v>171</v>
      </c>
      <c r="D603" s="49">
        <v>55.0</v>
      </c>
      <c r="E603" s="65">
        <v>9.0</v>
      </c>
      <c r="F603" s="65">
        <v>19.0</v>
      </c>
      <c r="G603" s="27">
        <v>51.272</v>
      </c>
      <c r="H603" s="27">
        <v>66.185</v>
      </c>
      <c r="I603" s="27">
        <v>72.395</v>
      </c>
      <c r="J603" s="27">
        <v>78.685</v>
      </c>
      <c r="K603" s="27">
        <v>87.025</v>
      </c>
    </row>
    <row r="604" ht="15.75" customHeight="1">
      <c r="B604" s="10" t="s">
        <v>682</v>
      </c>
      <c r="C604" s="10" t="s">
        <v>184</v>
      </c>
      <c r="D604" s="49">
        <v>10.0</v>
      </c>
      <c r="E604" s="65">
        <v>12.0</v>
      </c>
      <c r="F604" s="65">
        <v>36.0</v>
      </c>
      <c r="G604" s="27">
        <v>-3.133</v>
      </c>
      <c r="H604" s="27">
        <v>31.333</v>
      </c>
      <c r="I604" s="27">
        <v>30.167</v>
      </c>
      <c r="J604" s="27">
        <v>28.667</v>
      </c>
      <c r="K604" s="27">
        <v>55.5</v>
      </c>
    </row>
    <row r="605" ht="15.75" customHeight="1">
      <c r="B605" s="10" t="s">
        <v>683</v>
      </c>
      <c r="C605" s="10" t="s">
        <v>172</v>
      </c>
      <c r="D605" s="49">
        <v>25.0</v>
      </c>
      <c r="E605" s="65">
        <v>11.0</v>
      </c>
      <c r="F605" s="65">
        <v>11.0</v>
      </c>
      <c r="G605" s="27">
        <v>47.619</v>
      </c>
      <c r="H605" s="27">
        <v>69.988</v>
      </c>
      <c r="I605" s="27">
        <v>75.38</v>
      </c>
      <c r="J605" s="27">
        <v>80.821</v>
      </c>
      <c r="K605" s="27">
        <v>79.863</v>
      </c>
    </row>
    <row r="606" ht="15.75" customHeight="1">
      <c r="B606" s="10" t="s">
        <v>684</v>
      </c>
      <c r="C606" s="10" t="s">
        <v>174</v>
      </c>
      <c r="D606" s="49">
        <v>37.0</v>
      </c>
      <c r="E606" s="65">
        <v>32.0</v>
      </c>
      <c r="F606" s="65">
        <v>25.0</v>
      </c>
      <c r="G606" s="27">
        <v>41.414</v>
      </c>
      <c r="H606" s="27">
        <v>46.973</v>
      </c>
      <c r="I606" s="27">
        <v>46.09</v>
      </c>
      <c r="J606" s="27">
        <v>86.0</v>
      </c>
      <c r="K606" s="27">
        <v>90.838</v>
      </c>
    </row>
    <row r="607" ht="15.75" customHeight="1">
      <c r="B607" s="10" t="s">
        <v>685</v>
      </c>
      <c r="C607" s="10" t="s">
        <v>182</v>
      </c>
      <c r="D607" s="49">
        <v>12.0</v>
      </c>
      <c r="E607" s="65">
        <v>5.0</v>
      </c>
      <c r="F607" s="65">
        <v>57.0</v>
      </c>
      <c r="G607" s="27">
        <v>27.2</v>
      </c>
      <c r="H607" s="27">
        <v>36.917</v>
      </c>
      <c r="I607" s="27">
        <v>35.847</v>
      </c>
      <c r="J607" s="27">
        <v>34.472</v>
      </c>
      <c r="K607" s="27">
        <v>86.203</v>
      </c>
    </row>
    <row r="608" ht="15.75" customHeight="1">
      <c r="B608" s="10" t="s">
        <v>686</v>
      </c>
      <c r="C608" s="10" t="s">
        <v>174</v>
      </c>
      <c r="D608" s="49">
        <v>12.0</v>
      </c>
      <c r="E608" s="65">
        <v>36.0</v>
      </c>
      <c r="F608" s="65">
        <v>32.0</v>
      </c>
      <c r="G608" s="27">
        <v>-7.167</v>
      </c>
      <c r="H608" s="27">
        <v>1.056</v>
      </c>
      <c r="I608" s="27">
        <v>-0.694</v>
      </c>
      <c r="J608" s="27">
        <v>7.25</v>
      </c>
      <c r="K608" s="27">
        <v>29.176</v>
      </c>
    </row>
    <row r="609" ht="15.75" customHeight="1">
      <c r="B609" s="10" t="s">
        <v>687</v>
      </c>
      <c r="C609" s="10" t="s">
        <v>166</v>
      </c>
      <c r="D609" s="49">
        <v>11.0</v>
      </c>
      <c r="E609" s="65">
        <v>22.0</v>
      </c>
      <c r="F609" s="65">
        <v>15.0</v>
      </c>
      <c r="G609" s="27">
        <v>38.667</v>
      </c>
      <c r="H609" s="27">
        <v>48.515</v>
      </c>
      <c r="I609" s="27">
        <v>58.758</v>
      </c>
      <c r="J609" s="27">
        <v>69.091</v>
      </c>
      <c r="K609" s="27">
        <v>67.273</v>
      </c>
    </row>
    <row r="610" ht="15.75" customHeight="1">
      <c r="B610" s="10" t="s">
        <v>688</v>
      </c>
      <c r="C610" s="10" t="s">
        <v>178</v>
      </c>
      <c r="D610" s="49">
        <v>15.0</v>
      </c>
      <c r="E610" s="65">
        <v>3.0</v>
      </c>
      <c r="F610" s="65">
        <v>3.0</v>
      </c>
      <c r="G610" s="27">
        <v>56.897</v>
      </c>
      <c r="H610" s="27">
        <v>56.179</v>
      </c>
      <c r="I610" s="27">
        <v>55.462</v>
      </c>
      <c r="J610" s="27">
        <v>54.538</v>
      </c>
      <c r="K610" s="27">
        <v>51.462</v>
      </c>
    </row>
    <row r="611" ht="15.75" customHeight="1">
      <c r="B611" s="10" t="s">
        <v>689</v>
      </c>
      <c r="C611" s="10" t="s">
        <v>180</v>
      </c>
      <c r="D611" s="49">
        <v>13.0</v>
      </c>
      <c r="E611" s="65">
        <v>23.0</v>
      </c>
      <c r="F611" s="65">
        <v>19.0</v>
      </c>
      <c r="G611" s="27">
        <v>10.077</v>
      </c>
      <c r="H611" s="27">
        <v>36.436</v>
      </c>
      <c r="I611" s="27">
        <v>63.205</v>
      </c>
      <c r="J611" s="27">
        <v>71.923</v>
      </c>
      <c r="K611" s="27">
        <v>70.385</v>
      </c>
    </row>
    <row r="612" ht="15.75" customHeight="1">
      <c r="B612" s="10" t="s">
        <v>690</v>
      </c>
      <c r="C612" s="10" t="s">
        <v>169</v>
      </c>
      <c r="D612" s="49">
        <v>24.0</v>
      </c>
      <c r="E612" s="65">
        <v>12.0</v>
      </c>
      <c r="F612" s="65">
        <v>12.0</v>
      </c>
      <c r="G612" s="27">
        <v>28.306</v>
      </c>
      <c r="H612" s="27">
        <v>57.431</v>
      </c>
      <c r="I612" s="27">
        <v>66.847</v>
      </c>
      <c r="J612" s="27">
        <v>71.278</v>
      </c>
      <c r="K612" s="27">
        <v>74.931</v>
      </c>
    </row>
    <row r="613" ht="15.75" customHeight="1">
      <c r="B613" s="10" t="s">
        <v>691</v>
      </c>
      <c r="C613" s="10" t="s">
        <v>181</v>
      </c>
      <c r="D613" s="49">
        <v>18.0</v>
      </c>
      <c r="E613" s="65">
        <v>18.0</v>
      </c>
      <c r="F613" s="65">
        <v>18.0</v>
      </c>
      <c r="G613" s="27">
        <v>-0.426</v>
      </c>
      <c r="H613" s="27">
        <v>55.654</v>
      </c>
      <c r="I613" s="27">
        <v>69.494</v>
      </c>
      <c r="J613" s="27">
        <v>76.295</v>
      </c>
      <c r="K613" s="27">
        <v>90.195</v>
      </c>
    </row>
    <row r="614" ht="15.75" customHeight="1">
      <c r="B614" s="10" t="s">
        <v>692</v>
      </c>
      <c r="C614" s="10" t="s">
        <v>182</v>
      </c>
      <c r="D614" s="49">
        <v>16.0</v>
      </c>
      <c r="E614" s="65">
        <v>15.0</v>
      </c>
      <c r="F614" s="65">
        <v>15.0</v>
      </c>
      <c r="G614" s="27">
        <v>2.938</v>
      </c>
      <c r="H614" s="27">
        <v>46.625</v>
      </c>
      <c r="I614" s="27">
        <v>53.375</v>
      </c>
      <c r="J614" s="27">
        <v>59.979</v>
      </c>
      <c r="K614" s="27">
        <v>65.5</v>
      </c>
    </row>
    <row r="615" ht="15.75" customHeight="1">
      <c r="B615" s="10" t="s">
        <v>693</v>
      </c>
      <c r="C615" s="10" t="s">
        <v>169</v>
      </c>
      <c r="D615" s="49">
        <v>23.0</v>
      </c>
      <c r="E615" s="65">
        <v>10.0</v>
      </c>
      <c r="F615" s="65">
        <v>9.0</v>
      </c>
      <c r="G615" s="27">
        <v>51.913</v>
      </c>
      <c r="H615" s="27">
        <v>61.667</v>
      </c>
      <c r="I615" s="27">
        <v>71.58</v>
      </c>
      <c r="J615" s="27">
        <v>71.058</v>
      </c>
      <c r="K615" s="27">
        <v>69.319</v>
      </c>
    </row>
    <row r="616" ht="15.75" customHeight="1">
      <c r="B616" s="10" t="s">
        <v>694</v>
      </c>
      <c r="C616" s="10" t="s">
        <v>179</v>
      </c>
      <c r="D616" s="49">
        <v>14.0</v>
      </c>
      <c r="E616" s="65">
        <v>25.0</v>
      </c>
      <c r="F616" s="65">
        <v>23.0</v>
      </c>
      <c r="G616" s="27">
        <v>7.238</v>
      </c>
      <c r="H616" s="27">
        <v>22.929</v>
      </c>
      <c r="I616" s="27">
        <v>47.571</v>
      </c>
      <c r="J616" s="27">
        <v>81.381</v>
      </c>
      <c r="K616" s="27">
        <v>80.667</v>
      </c>
    </row>
    <row r="617" ht="15.75" customHeight="1">
      <c r="B617" s="10" t="s">
        <v>695</v>
      </c>
      <c r="C617" s="10" t="s">
        <v>696</v>
      </c>
      <c r="D617" s="49">
        <v>16.0</v>
      </c>
      <c r="E617" s="65">
        <v>19.0</v>
      </c>
      <c r="F617" s="65">
        <v>33.0</v>
      </c>
      <c r="G617" s="27">
        <v>-12.208</v>
      </c>
      <c r="H617" s="27">
        <v>8.375</v>
      </c>
      <c r="I617" s="27">
        <v>37.0</v>
      </c>
      <c r="J617" s="27">
        <v>44.51</v>
      </c>
      <c r="K617" s="27">
        <v>68.5</v>
      </c>
    </row>
    <row r="618" ht="15.75" customHeight="1">
      <c r="B618" s="10" t="s">
        <v>697</v>
      </c>
      <c r="C618" s="10" t="s">
        <v>469</v>
      </c>
      <c r="D618" s="49">
        <v>12.0</v>
      </c>
      <c r="E618" s="65">
        <v>21.0</v>
      </c>
      <c r="F618" s="65">
        <v>21.0</v>
      </c>
      <c r="G618" s="27">
        <v>13.222</v>
      </c>
      <c r="H618" s="27">
        <v>11.667</v>
      </c>
      <c r="I618" s="27">
        <v>60.361</v>
      </c>
      <c r="J618" s="27">
        <v>59.611</v>
      </c>
      <c r="K618" s="27">
        <v>67.917</v>
      </c>
    </row>
    <row r="619" ht="15.75" customHeight="1">
      <c r="B619" s="10" t="s">
        <v>698</v>
      </c>
      <c r="C619" s="10" t="s">
        <v>166</v>
      </c>
      <c r="D619" s="49">
        <v>13.0</v>
      </c>
      <c r="E619" s="65">
        <v>27.0</v>
      </c>
      <c r="F619" s="65">
        <v>19.0</v>
      </c>
      <c r="G619" s="27">
        <v>9.769</v>
      </c>
      <c r="H619" s="27">
        <v>36.256</v>
      </c>
      <c r="I619" s="27">
        <v>63.154</v>
      </c>
      <c r="J619" s="27">
        <v>81.154</v>
      </c>
      <c r="K619" s="27">
        <v>80.385</v>
      </c>
    </row>
    <row r="620" ht="15.75" customHeight="1">
      <c r="B620" s="10" t="s">
        <v>699</v>
      </c>
      <c r="C620" s="10" t="s">
        <v>169</v>
      </c>
      <c r="D620" s="49">
        <v>12.0</v>
      </c>
      <c r="E620" s="65">
        <v>20.0</v>
      </c>
      <c r="F620" s="65">
        <v>46.0</v>
      </c>
      <c r="G620" s="27">
        <v>2.944</v>
      </c>
      <c r="H620" s="27">
        <v>1.194</v>
      </c>
      <c r="I620" s="27">
        <v>29.556</v>
      </c>
      <c r="J620" s="27">
        <v>28.056</v>
      </c>
      <c r="K620" s="27">
        <v>47.522</v>
      </c>
    </row>
    <row r="621" ht="15.75" customHeight="1">
      <c r="B621" s="10" t="s">
        <v>700</v>
      </c>
      <c r="C621" s="10" t="s">
        <v>167</v>
      </c>
      <c r="D621" s="49">
        <v>11.0</v>
      </c>
      <c r="E621" s="65">
        <v>33.0</v>
      </c>
      <c r="F621" s="65">
        <v>31.0</v>
      </c>
      <c r="G621" s="27">
        <v>-5.303</v>
      </c>
      <c r="H621" s="27">
        <v>36.879</v>
      </c>
      <c r="I621" s="27">
        <v>35.818</v>
      </c>
      <c r="J621" s="27">
        <v>56.455</v>
      </c>
      <c r="K621" s="27">
        <v>77.242</v>
      </c>
    </row>
    <row r="622" ht="15.75" customHeight="1">
      <c r="B622" s="10" t="s">
        <v>701</v>
      </c>
      <c r="C622" s="10" t="s">
        <v>541</v>
      </c>
      <c r="D622" s="49">
        <v>15.0</v>
      </c>
      <c r="E622" s="65">
        <v>10.0</v>
      </c>
      <c r="F622" s="65">
        <v>37.0</v>
      </c>
      <c r="G622" s="27">
        <v>37.178</v>
      </c>
      <c r="H622" s="27">
        <v>44.178</v>
      </c>
      <c r="I622" s="27">
        <v>43.244</v>
      </c>
      <c r="J622" s="27">
        <v>50.156</v>
      </c>
      <c r="K622" s="27">
        <v>80.356</v>
      </c>
    </row>
    <row r="623" ht="15.75" customHeight="1">
      <c r="B623" s="10" t="s">
        <v>702</v>
      </c>
      <c r="C623" s="10" t="s">
        <v>169</v>
      </c>
      <c r="D623" s="49">
        <v>10.0</v>
      </c>
      <c r="E623" s="65">
        <v>25.0</v>
      </c>
      <c r="F623" s="65">
        <v>20.0</v>
      </c>
      <c r="G623" s="27">
        <v>21.367</v>
      </c>
      <c r="H623" s="27">
        <v>32.067</v>
      </c>
      <c r="I623" s="27">
        <v>55.033</v>
      </c>
      <c r="J623" s="27">
        <v>66.3</v>
      </c>
      <c r="K623" s="27">
        <v>64.3</v>
      </c>
    </row>
    <row r="624" ht="15.75" customHeight="1">
      <c r="B624" s="10" t="s">
        <v>703</v>
      </c>
      <c r="C624" s="10" t="s">
        <v>175</v>
      </c>
      <c r="D624" s="49">
        <v>20.0</v>
      </c>
      <c r="E624" s="65">
        <v>22.0</v>
      </c>
      <c r="F624" s="65">
        <v>22.0</v>
      </c>
      <c r="G624" s="27">
        <v>15.0</v>
      </c>
      <c r="H624" s="27">
        <v>31.633</v>
      </c>
      <c r="I624" s="27">
        <v>54.6</v>
      </c>
      <c r="J624" s="27">
        <v>65.9</v>
      </c>
      <c r="K624" s="27">
        <v>76.633</v>
      </c>
    </row>
    <row r="625" ht="15.75" customHeight="1">
      <c r="B625" s="10" t="s">
        <v>704</v>
      </c>
      <c r="C625" s="10" t="s">
        <v>171</v>
      </c>
      <c r="D625" s="49">
        <v>14.0</v>
      </c>
      <c r="E625" s="65">
        <v>15.0</v>
      </c>
      <c r="F625" s="65">
        <v>33.0</v>
      </c>
      <c r="G625" s="27">
        <v>15.738</v>
      </c>
      <c r="H625" s="27">
        <v>31.595</v>
      </c>
      <c r="I625" s="27">
        <v>39.143</v>
      </c>
      <c r="J625" s="27">
        <v>37.857</v>
      </c>
      <c r="K625" s="27">
        <v>69.929</v>
      </c>
    </row>
    <row r="626" ht="15.75" customHeight="1">
      <c r="B626" s="10" t="s">
        <v>705</v>
      </c>
      <c r="C626" s="10" t="s">
        <v>183</v>
      </c>
      <c r="D626" s="49">
        <v>16.0</v>
      </c>
      <c r="E626" s="65">
        <v>21.0</v>
      </c>
      <c r="F626" s="65">
        <v>21.0</v>
      </c>
      <c r="G626" s="27">
        <v>-3.067</v>
      </c>
      <c r="H626" s="27">
        <v>27.444</v>
      </c>
      <c r="I626" s="27">
        <v>66.556</v>
      </c>
      <c r="J626" s="27">
        <v>74.044</v>
      </c>
      <c r="K626" s="27">
        <v>81.067</v>
      </c>
    </row>
    <row r="627" ht="15.75" customHeight="1">
      <c r="B627" s="10" t="s">
        <v>706</v>
      </c>
      <c r="C627" s="10" t="s">
        <v>181</v>
      </c>
      <c r="D627" s="49">
        <v>12.0</v>
      </c>
      <c r="E627" s="65">
        <v>47.0</v>
      </c>
      <c r="F627" s="65">
        <v>41.0</v>
      </c>
      <c r="G627" s="27">
        <v>-4.87</v>
      </c>
      <c r="H627" s="27">
        <v>-6.772</v>
      </c>
      <c r="I627" s="27">
        <v>3.753</v>
      </c>
      <c r="J627" s="27">
        <v>26.296</v>
      </c>
      <c r="K627" s="27">
        <v>85.914</v>
      </c>
    </row>
    <row r="628" ht="15.75" customHeight="1">
      <c r="B628" s="10" t="s">
        <v>707</v>
      </c>
      <c r="C628" s="10" t="s">
        <v>169</v>
      </c>
      <c r="D628" s="49">
        <v>14.0</v>
      </c>
      <c r="E628" s="65">
        <v>13.0</v>
      </c>
      <c r="F628" s="65">
        <v>13.0</v>
      </c>
      <c r="G628" s="27">
        <v>24.762</v>
      </c>
      <c r="H628" s="27">
        <v>73.034</v>
      </c>
      <c r="I628" s="27">
        <v>72.653</v>
      </c>
      <c r="J628" s="27">
        <v>82.041</v>
      </c>
      <c r="K628" s="27">
        <v>91.782</v>
      </c>
    </row>
    <row r="629" ht="15.75" customHeight="1">
      <c r="B629" s="10" t="s">
        <v>708</v>
      </c>
      <c r="C629" s="10" t="s">
        <v>174</v>
      </c>
      <c r="D629" s="49">
        <v>11.0</v>
      </c>
      <c r="E629" s="65">
        <v>11.0</v>
      </c>
      <c r="F629" s="65">
        <v>41.0</v>
      </c>
      <c r="G629" s="27">
        <v>9.0</v>
      </c>
      <c r="H629" s="27">
        <v>31.667</v>
      </c>
      <c r="I629" s="27">
        <v>30.5</v>
      </c>
      <c r="J629" s="27">
        <v>53.2</v>
      </c>
      <c r="K629" s="27">
        <v>75.233</v>
      </c>
    </row>
    <row r="630" ht="15.75" customHeight="1">
      <c r="B630" s="10" t="s">
        <v>709</v>
      </c>
      <c r="C630" s="10" t="s">
        <v>166</v>
      </c>
      <c r="D630" s="49">
        <v>11.0</v>
      </c>
      <c r="E630" s="65">
        <v>23.0</v>
      </c>
      <c r="F630" s="65">
        <v>23.0</v>
      </c>
      <c r="G630" s="27">
        <v>16.545</v>
      </c>
      <c r="H630" s="27">
        <v>37.0</v>
      </c>
      <c r="I630" s="27">
        <v>46.939</v>
      </c>
      <c r="J630" s="27">
        <v>67.879</v>
      </c>
      <c r="K630" s="27">
        <v>77.727</v>
      </c>
    </row>
    <row r="631" ht="15.75" customHeight="1">
      <c r="B631" s="10" t="s">
        <v>710</v>
      </c>
      <c r="C631" s="10" t="s">
        <v>166</v>
      </c>
      <c r="D631" s="49">
        <v>12.0</v>
      </c>
      <c r="E631" s="65">
        <v>15.0</v>
      </c>
      <c r="F631" s="65">
        <v>8.0</v>
      </c>
      <c r="G631" s="27">
        <v>33.278</v>
      </c>
      <c r="H631" s="27">
        <v>42.278</v>
      </c>
      <c r="I631" s="27">
        <v>51.472</v>
      </c>
      <c r="J631" s="27">
        <v>50.472</v>
      </c>
      <c r="K631" s="27">
        <v>47.139</v>
      </c>
    </row>
    <row r="632" ht="15.75" customHeight="1"/>
    <row r="633" ht="21.75" customHeight="1">
      <c r="B633" s="3" t="s">
        <v>802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ht="15.75" customHeight="1"/>
    <row r="635" ht="15.75" customHeight="1">
      <c r="B635" s="5" t="s">
        <v>803</v>
      </c>
    </row>
    <row r="636" ht="15.75" customHeight="1">
      <c r="B636" s="84" t="s">
        <v>209</v>
      </c>
      <c r="C636" s="84" t="s">
        <v>804</v>
      </c>
      <c r="D636" s="84" t="s">
        <v>805</v>
      </c>
      <c r="E636" s="84" t="s">
        <v>806</v>
      </c>
      <c r="F636" s="84" t="s">
        <v>807</v>
      </c>
      <c r="G636" s="84" t="s">
        <v>808</v>
      </c>
      <c r="H636" s="84" t="s">
        <v>809</v>
      </c>
      <c r="I636" s="84" t="s">
        <v>810</v>
      </c>
      <c r="J636" s="84" t="s">
        <v>811</v>
      </c>
      <c r="K636" s="84" t="s">
        <v>812</v>
      </c>
      <c r="L636" s="84" t="s">
        <v>813</v>
      </c>
      <c r="M636" s="84" t="s">
        <v>814</v>
      </c>
      <c r="N636" s="84" t="s">
        <v>815</v>
      </c>
      <c r="O636" s="84" t="s">
        <v>816</v>
      </c>
      <c r="P636" s="84" t="s">
        <v>817</v>
      </c>
      <c r="Q636" s="84" t="s">
        <v>818</v>
      </c>
      <c r="R636" s="84" t="s">
        <v>819</v>
      </c>
      <c r="S636" s="84" t="s">
        <v>820</v>
      </c>
      <c r="T636" s="84" t="s">
        <v>821</v>
      </c>
      <c r="U636" s="84" t="s">
        <v>822</v>
      </c>
      <c r="V636" s="84" t="s">
        <v>823</v>
      </c>
      <c r="W636" s="84" t="s">
        <v>824</v>
      </c>
      <c r="X636" s="84" t="s">
        <v>825</v>
      </c>
      <c r="Y636" s="84" t="s">
        <v>826</v>
      </c>
      <c r="Z636" s="84" t="s">
        <v>827</v>
      </c>
      <c r="AA636" s="84" t="s">
        <v>828</v>
      </c>
      <c r="AB636" s="84" t="s">
        <v>829</v>
      </c>
      <c r="AC636" s="84" t="s">
        <v>830</v>
      </c>
      <c r="AD636" s="84" t="s">
        <v>831</v>
      </c>
      <c r="AE636" s="84" t="s">
        <v>832</v>
      </c>
      <c r="AF636" s="84" t="s">
        <v>833</v>
      </c>
      <c r="AG636" s="84" t="s">
        <v>834</v>
      </c>
      <c r="AH636" s="84" t="s">
        <v>835</v>
      </c>
      <c r="AI636" s="84" t="s">
        <v>836</v>
      </c>
      <c r="AJ636" s="84" t="s">
        <v>837</v>
      </c>
      <c r="AK636" s="84" t="s">
        <v>838</v>
      </c>
      <c r="AL636" s="84" t="s">
        <v>839</v>
      </c>
      <c r="AM636" s="84" t="s">
        <v>840</v>
      </c>
      <c r="AN636" s="84" t="s">
        <v>841</v>
      </c>
      <c r="AO636" s="84" t="s">
        <v>842</v>
      </c>
      <c r="AP636" s="84" t="s">
        <v>843</v>
      </c>
      <c r="AQ636" s="84" t="s">
        <v>844</v>
      </c>
      <c r="AR636" s="84" t="s">
        <v>845</v>
      </c>
      <c r="AS636" s="84" t="s">
        <v>846</v>
      </c>
      <c r="AT636" s="84" t="s">
        <v>847</v>
      </c>
      <c r="AU636" s="84" t="s">
        <v>848</v>
      </c>
      <c r="AV636" s="84" t="s">
        <v>849</v>
      </c>
      <c r="AW636" s="84" t="s">
        <v>850</v>
      </c>
      <c r="AX636" s="84" t="s">
        <v>851</v>
      </c>
      <c r="AY636" s="84" t="s">
        <v>852</v>
      </c>
      <c r="AZ636" s="84" t="s">
        <v>853</v>
      </c>
      <c r="BA636" s="84" t="s">
        <v>854</v>
      </c>
    </row>
    <row r="637" ht="15.75" customHeight="1">
      <c r="B637" s="52">
        <v>1.0</v>
      </c>
      <c r="C637" s="72">
        <v>0.15562</v>
      </c>
      <c r="D637" s="72">
        <v>0.32692</v>
      </c>
      <c r="E637" s="49">
        <v>450.0</v>
      </c>
      <c r="F637" s="57">
        <v>3.489</v>
      </c>
      <c r="G637" s="57">
        <v>27.899</v>
      </c>
      <c r="H637" s="85">
        <v>0.0</v>
      </c>
      <c r="I637" s="85">
        <v>0.0933</v>
      </c>
      <c r="J637" s="85">
        <v>0.1733</v>
      </c>
      <c r="K637" s="85">
        <v>0.2289</v>
      </c>
      <c r="L637" s="85">
        <v>0.2867</v>
      </c>
      <c r="M637" s="85">
        <v>0.3378</v>
      </c>
      <c r="N637" s="85">
        <v>0.3511</v>
      </c>
      <c r="O637" s="85">
        <v>0.3689</v>
      </c>
      <c r="P637" s="85">
        <v>0.4044</v>
      </c>
      <c r="Q637" s="85">
        <v>0.4289</v>
      </c>
      <c r="R637" s="85">
        <v>0.4333</v>
      </c>
      <c r="S637" s="85">
        <v>0.4556</v>
      </c>
      <c r="T637" s="85">
        <v>0.4622</v>
      </c>
      <c r="U637" s="85">
        <v>0.48</v>
      </c>
      <c r="V637" s="85">
        <v>0.4867</v>
      </c>
      <c r="W637" s="85">
        <v>0.5156</v>
      </c>
      <c r="X637" s="85">
        <v>0.5244</v>
      </c>
      <c r="Y637" s="85">
        <v>0.5311</v>
      </c>
      <c r="Z637" s="85">
        <v>0.54</v>
      </c>
      <c r="AA637" s="85">
        <v>0.54</v>
      </c>
      <c r="AB637" s="85">
        <v>0.5467</v>
      </c>
      <c r="AC637" s="85">
        <v>0.5533</v>
      </c>
      <c r="AD637" s="85">
        <v>0.56</v>
      </c>
      <c r="AE637" s="85">
        <v>0.5689</v>
      </c>
      <c r="AF637" s="85">
        <v>0.5756</v>
      </c>
      <c r="AG637" s="85">
        <v>0.5822</v>
      </c>
      <c r="AH637" s="85">
        <v>0.5822</v>
      </c>
      <c r="AI637" s="85">
        <v>0.5844</v>
      </c>
      <c r="AJ637" s="85">
        <v>0.5844</v>
      </c>
      <c r="AK637" s="85">
        <v>0.5889</v>
      </c>
      <c r="AL637" s="85">
        <v>0.5956</v>
      </c>
      <c r="AM637" s="85">
        <v>0.5956</v>
      </c>
      <c r="AN637" s="85">
        <v>0.5956</v>
      </c>
      <c r="AO637" s="85">
        <v>0.6</v>
      </c>
      <c r="AP637" s="85">
        <v>0.6022</v>
      </c>
      <c r="AQ637" s="85">
        <v>0.6067</v>
      </c>
      <c r="AR637" s="85">
        <v>0.6067</v>
      </c>
      <c r="AS637" s="85">
        <v>0.6067</v>
      </c>
      <c r="AT637" s="85">
        <v>0.6133</v>
      </c>
      <c r="AU637" s="85">
        <v>0.6156</v>
      </c>
      <c r="AV637" s="85">
        <v>0.62</v>
      </c>
      <c r="AW637" s="85">
        <v>0.6222</v>
      </c>
      <c r="AX637" s="85">
        <v>0.6222</v>
      </c>
      <c r="AY637" s="85">
        <v>0.6222</v>
      </c>
      <c r="AZ637" s="85">
        <v>0.6267</v>
      </c>
      <c r="BA637" s="85">
        <v>0.6333</v>
      </c>
    </row>
    <row r="638" ht="15.75" customHeight="1">
      <c r="B638" s="52">
        <v>2.0</v>
      </c>
      <c r="C638" s="72">
        <v>0.32223</v>
      </c>
      <c r="D638" s="72">
        <v>0.23075</v>
      </c>
      <c r="E638" s="49">
        <v>425.0</v>
      </c>
      <c r="F638" s="57">
        <v>5.711</v>
      </c>
      <c r="G638" s="57">
        <v>65.994</v>
      </c>
      <c r="H638" s="85">
        <v>0.0</v>
      </c>
      <c r="I638" s="85">
        <v>0.2</v>
      </c>
      <c r="J638" s="85">
        <v>0.2918</v>
      </c>
      <c r="K638" s="85">
        <v>0.3506</v>
      </c>
      <c r="L638" s="85">
        <v>0.3765</v>
      </c>
      <c r="M638" s="85">
        <v>0.3906</v>
      </c>
      <c r="N638" s="85">
        <v>0.4165</v>
      </c>
      <c r="O638" s="85">
        <v>0.4306</v>
      </c>
      <c r="P638" s="85">
        <v>0.4376</v>
      </c>
      <c r="Q638" s="85">
        <v>0.4471</v>
      </c>
      <c r="R638" s="85">
        <v>0.4541</v>
      </c>
      <c r="S638" s="85">
        <v>0.4635</v>
      </c>
      <c r="T638" s="85">
        <v>0.4635</v>
      </c>
      <c r="U638" s="85">
        <v>0.4706</v>
      </c>
      <c r="V638" s="85">
        <v>0.4753</v>
      </c>
      <c r="W638" s="85">
        <v>0.4776</v>
      </c>
      <c r="X638" s="85">
        <v>0.4824</v>
      </c>
      <c r="Y638" s="85">
        <v>0.4824</v>
      </c>
      <c r="Z638" s="85">
        <v>0.4941</v>
      </c>
      <c r="AA638" s="85">
        <v>0.5059</v>
      </c>
      <c r="AB638" s="85">
        <v>0.5176</v>
      </c>
      <c r="AC638" s="85">
        <v>0.5318</v>
      </c>
      <c r="AD638" s="85">
        <v>0.5435</v>
      </c>
      <c r="AE638" s="85">
        <v>0.5482</v>
      </c>
      <c r="AF638" s="85">
        <v>0.5506</v>
      </c>
      <c r="AG638" s="85">
        <v>0.5529</v>
      </c>
      <c r="AH638" s="85">
        <v>0.56</v>
      </c>
      <c r="AI638" s="85">
        <v>0.5624</v>
      </c>
      <c r="AJ638" s="85">
        <v>0.5671</v>
      </c>
      <c r="AK638" s="85">
        <v>0.5718</v>
      </c>
      <c r="AL638" s="85">
        <v>0.5765</v>
      </c>
      <c r="AM638" s="85">
        <v>0.5788</v>
      </c>
      <c r="AN638" s="85">
        <v>0.5882</v>
      </c>
      <c r="AO638" s="85">
        <v>0.5882</v>
      </c>
      <c r="AP638" s="85">
        <v>0.5953</v>
      </c>
      <c r="AQ638" s="85">
        <v>0.5953</v>
      </c>
      <c r="AR638" s="85">
        <v>0.6</v>
      </c>
      <c r="AS638" s="85">
        <v>0.6071</v>
      </c>
      <c r="AT638" s="85">
        <v>0.6141</v>
      </c>
      <c r="AU638" s="85">
        <v>0.6235</v>
      </c>
      <c r="AV638" s="85">
        <v>0.6235</v>
      </c>
      <c r="AW638" s="85">
        <v>0.6235</v>
      </c>
      <c r="AX638" s="85">
        <v>0.6235</v>
      </c>
      <c r="AY638" s="85">
        <v>0.6235</v>
      </c>
      <c r="AZ638" s="85">
        <v>0.6259</v>
      </c>
      <c r="BA638" s="85">
        <v>0.6259</v>
      </c>
    </row>
    <row r="639" ht="15.75" customHeight="1">
      <c r="B639" s="52">
        <v>3.0</v>
      </c>
      <c r="C639" s="72">
        <v>0.07528</v>
      </c>
      <c r="D639" s="72">
        <v>0.33394</v>
      </c>
      <c r="E639" s="49">
        <v>341.0</v>
      </c>
      <c r="F639" s="57">
        <v>1.809</v>
      </c>
      <c r="G639" s="57">
        <v>7.228</v>
      </c>
      <c r="H639" s="85">
        <v>0.0</v>
      </c>
      <c r="I639" s="85">
        <v>0.0557</v>
      </c>
      <c r="J639" s="85">
        <v>0.088</v>
      </c>
      <c r="K639" s="85">
        <v>0.1202</v>
      </c>
      <c r="L639" s="85">
        <v>0.1613</v>
      </c>
      <c r="M639" s="85">
        <v>0.2053</v>
      </c>
      <c r="N639" s="85">
        <v>0.2317</v>
      </c>
      <c r="O639" s="85">
        <v>0.2551</v>
      </c>
      <c r="P639" s="85">
        <v>0.2786</v>
      </c>
      <c r="Q639" s="85">
        <v>0.2962</v>
      </c>
      <c r="R639" s="85">
        <v>0.3372</v>
      </c>
      <c r="S639" s="85">
        <v>0.3578</v>
      </c>
      <c r="T639" s="85">
        <v>0.3666</v>
      </c>
      <c r="U639" s="85">
        <v>0.3842</v>
      </c>
      <c r="V639" s="85">
        <v>0.3871</v>
      </c>
      <c r="W639" s="85">
        <v>0.3988</v>
      </c>
      <c r="X639" s="85">
        <v>0.4106</v>
      </c>
      <c r="Y639" s="85">
        <v>0.4223</v>
      </c>
      <c r="Z639" s="85">
        <v>0.434</v>
      </c>
      <c r="AA639" s="85">
        <v>0.4487</v>
      </c>
      <c r="AB639" s="85">
        <v>0.4516</v>
      </c>
      <c r="AC639" s="85">
        <v>0.4633</v>
      </c>
      <c r="AD639" s="85">
        <v>0.4721</v>
      </c>
      <c r="AE639" s="85">
        <v>0.4721</v>
      </c>
      <c r="AF639" s="85">
        <v>0.4751</v>
      </c>
      <c r="AG639" s="85">
        <v>0.4809</v>
      </c>
      <c r="AH639" s="85">
        <v>0.4956</v>
      </c>
      <c r="AI639" s="85">
        <v>0.4956</v>
      </c>
      <c r="AJ639" s="85">
        <v>0.4985</v>
      </c>
      <c r="AK639" s="85">
        <v>0.5044</v>
      </c>
      <c r="AL639" s="85">
        <v>0.5044</v>
      </c>
      <c r="AM639" s="85">
        <v>0.5044</v>
      </c>
      <c r="AN639" s="85">
        <v>0.5044</v>
      </c>
      <c r="AO639" s="85">
        <v>0.5044</v>
      </c>
      <c r="AP639" s="85">
        <v>0.5073</v>
      </c>
      <c r="AQ639" s="85">
        <v>0.5073</v>
      </c>
      <c r="AR639" s="85">
        <v>0.5103</v>
      </c>
      <c r="AS639" s="85">
        <v>0.5191</v>
      </c>
      <c r="AT639" s="85">
        <v>0.5279</v>
      </c>
      <c r="AU639" s="85">
        <v>0.5308</v>
      </c>
      <c r="AV639" s="85">
        <v>0.5308</v>
      </c>
      <c r="AW639" s="85">
        <v>0.5367</v>
      </c>
      <c r="AX639" s="85">
        <v>0.5396</v>
      </c>
      <c r="AY639" s="85">
        <v>0.5396</v>
      </c>
      <c r="AZ639" s="85">
        <v>0.5425</v>
      </c>
      <c r="BA639" s="85">
        <v>0.5425</v>
      </c>
    </row>
    <row r="640" ht="15.75" customHeight="1">
      <c r="B640" s="52">
        <v>4.0</v>
      </c>
      <c r="C640" s="72">
        <v>0.06061</v>
      </c>
      <c r="D640" s="72">
        <v>0.41495</v>
      </c>
      <c r="E640" s="49">
        <v>302.0</v>
      </c>
      <c r="F640" s="57">
        <v>2.364</v>
      </c>
      <c r="G640" s="57">
        <v>15.463</v>
      </c>
      <c r="H640" s="85">
        <v>0.0</v>
      </c>
      <c r="I640" s="85">
        <v>0.0464</v>
      </c>
      <c r="J640" s="85">
        <v>0.1093</v>
      </c>
      <c r="K640" s="85">
        <v>0.1556</v>
      </c>
      <c r="L640" s="85">
        <v>0.1755</v>
      </c>
      <c r="M640" s="85">
        <v>0.2053</v>
      </c>
      <c r="N640" s="85">
        <v>0.2252</v>
      </c>
      <c r="O640" s="85">
        <v>0.2517</v>
      </c>
      <c r="P640" s="85">
        <v>0.2748</v>
      </c>
      <c r="Q640" s="85">
        <v>0.2914</v>
      </c>
      <c r="R640" s="85">
        <v>0.3212</v>
      </c>
      <c r="S640" s="85">
        <v>0.3278</v>
      </c>
      <c r="T640" s="85">
        <v>0.3444</v>
      </c>
      <c r="U640" s="85">
        <v>0.3543</v>
      </c>
      <c r="V640" s="85">
        <v>0.3642</v>
      </c>
      <c r="W640" s="85">
        <v>0.3742</v>
      </c>
      <c r="X640" s="85">
        <v>0.3907</v>
      </c>
      <c r="Y640" s="85">
        <v>0.404</v>
      </c>
      <c r="Z640" s="85">
        <v>0.4073</v>
      </c>
      <c r="AA640" s="85">
        <v>0.4272</v>
      </c>
      <c r="AB640" s="85">
        <v>0.4338</v>
      </c>
      <c r="AC640" s="85">
        <v>0.4437</v>
      </c>
      <c r="AD640" s="85">
        <v>0.447</v>
      </c>
      <c r="AE640" s="85">
        <v>0.447</v>
      </c>
      <c r="AF640" s="85">
        <v>0.4503</v>
      </c>
      <c r="AG640" s="85">
        <v>0.4669</v>
      </c>
      <c r="AH640" s="85">
        <v>0.4768</v>
      </c>
      <c r="AI640" s="85">
        <v>0.4834</v>
      </c>
      <c r="AJ640" s="85">
        <v>0.4901</v>
      </c>
      <c r="AK640" s="85">
        <v>0.5</v>
      </c>
      <c r="AL640" s="85">
        <v>0.5066</v>
      </c>
      <c r="AM640" s="85">
        <v>0.5099</v>
      </c>
      <c r="AN640" s="85">
        <v>0.5232</v>
      </c>
      <c r="AO640" s="85">
        <v>0.5265</v>
      </c>
      <c r="AP640" s="85">
        <v>0.5298</v>
      </c>
      <c r="AQ640" s="85">
        <v>0.5397</v>
      </c>
      <c r="AR640" s="85">
        <v>0.5397</v>
      </c>
      <c r="AS640" s="85">
        <v>0.5397</v>
      </c>
      <c r="AT640" s="85">
        <v>0.543</v>
      </c>
      <c r="AU640" s="85">
        <v>0.5497</v>
      </c>
      <c r="AV640" s="85">
        <v>0.553</v>
      </c>
      <c r="AW640" s="85">
        <v>0.553</v>
      </c>
      <c r="AX640" s="85">
        <v>0.5563</v>
      </c>
      <c r="AY640" s="85">
        <v>0.5563</v>
      </c>
      <c r="AZ640" s="85">
        <v>0.5563</v>
      </c>
      <c r="BA640" s="85">
        <v>0.5563</v>
      </c>
    </row>
    <row r="641" ht="15.75" customHeight="1">
      <c r="B641" s="52">
        <v>5.0</v>
      </c>
      <c r="C641" s="72">
        <v>0.0427</v>
      </c>
      <c r="D641" s="72">
        <v>0.59019</v>
      </c>
      <c r="E641" s="49">
        <v>291.0</v>
      </c>
      <c r="F641" s="57">
        <v>1.533</v>
      </c>
      <c r="G641" s="57">
        <v>5.307</v>
      </c>
      <c r="H641" s="85">
        <v>0.0</v>
      </c>
      <c r="I641" s="85">
        <v>0.0309</v>
      </c>
      <c r="J641" s="85">
        <v>0.0619</v>
      </c>
      <c r="K641" s="85">
        <v>0.0997</v>
      </c>
      <c r="L641" s="85">
        <v>0.1271</v>
      </c>
      <c r="M641" s="85">
        <v>0.1512</v>
      </c>
      <c r="N641" s="85">
        <v>0.1546</v>
      </c>
      <c r="O641" s="85">
        <v>0.1753</v>
      </c>
      <c r="P641" s="85">
        <v>0.2062</v>
      </c>
      <c r="Q641" s="85">
        <v>0.2302</v>
      </c>
      <c r="R641" s="85">
        <v>0.2612</v>
      </c>
      <c r="S641" s="85">
        <v>0.2818</v>
      </c>
      <c r="T641" s="85">
        <v>0.3024</v>
      </c>
      <c r="U641" s="85">
        <v>0.323</v>
      </c>
      <c r="V641" s="85">
        <v>0.3471</v>
      </c>
      <c r="W641" s="85">
        <v>0.354</v>
      </c>
      <c r="X641" s="85">
        <v>0.3711</v>
      </c>
      <c r="Y641" s="85">
        <v>0.3814</v>
      </c>
      <c r="Z641" s="85">
        <v>0.3952</v>
      </c>
      <c r="AA641" s="85">
        <v>0.4055</v>
      </c>
      <c r="AB641" s="85">
        <v>0.4192</v>
      </c>
      <c r="AC641" s="85">
        <v>0.4364</v>
      </c>
      <c r="AD641" s="85">
        <v>0.4502</v>
      </c>
      <c r="AE641" s="85">
        <v>0.4536</v>
      </c>
      <c r="AF641" s="85">
        <v>0.4742</v>
      </c>
      <c r="AG641" s="85">
        <v>0.4811</v>
      </c>
      <c r="AH641" s="85">
        <v>0.4845</v>
      </c>
      <c r="AI641" s="85">
        <v>0.488</v>
      </c>
      <c r="AJ641" s="85">
        <v>0.4983</v>
      </c>
      <c r="AK641" s="85">
        <v>0.5086</v>
      </c>
      <c r="AL641" s="85">
        <v>0.5155</v>
      </c>
      <c r="AM641" s="85">
        <v>0.5189</v>
      </c>
      <c r="AN641" s="85">
        <v>0.5189</v>
      </c>
      <c r="AO641" s="85">
        <v>0.5223</v>
      </c>
      <c r="AP641" s="85">
        <v>0.5258</v>
      </c>
      <c r="AQ641" s="85">
        <v>0.5326</v>
      </c>
      <c r="AR641" s="85">
        <v>0.543</v>
      </c>
      <c r="AS641" s="85">
        <v>0.5464</v>
      </c>
      <c r="AT641" s="85">
        <v>0.5464</v>
      </c>
      <c r="AU641" s="85">
        <v>0.5498</v>
      </c>
      <c r="AV641" s="85">
        <v>0.5533</v>
      </c>
      <c r="AW641" s="85">
        <v>0.5601</v>
      </c>
      <c r="AX641" s="85">
        <v>0.567</v>
      </c>
      <c r="AY641" s="85">
        <v>0.567</v>
      </c>
      <c r="AZ641" s="85">
        <v>0.567</v>
      </c>
      <c r="BA641" s="85">
        <v>0.5704</v>
      </c>
    </row>
    <row r="642" ht="15.75" customHeight="1">
      <c r="B642" s="52">
        <v>6.0</v>
      </c>
      <c r="C642" s="72">
        <v>0.06537</v>
      </c>
      <c r="D642" s="72">
        <v>0.34228</v>
      </c>
      <c r="E642" s="49">
        <v>291.0</v>
      </c>
      <c r="F642" s="57">
        <v>3.216</v>
      </c>
      <c r="G642" s="57">
        <v>49.634</v>
      </c>
      <c r="H642" s="85">
        <v>0.0</v>
      </c>
      <c r="I642" s="85">
        <v>0.1443</v>
      </c>
      <c r="J642" s="85">
        <v>0.1753</v>
      </c>
      <c r="K642" s="85">
        <v>0.2096</v>
      </c>
      <c r="L642" s="85">
        <v>0.2371</v>
      </c>
      <c r="M642" s="85">
        <v>0.2577</v>
      </c>
      <c r="N642" s="85">
        <v>0.2715</v>
      </c>
      <c r="O642" s="85">
        <v>0.2749</v>
      </c>
      <c r="P642" s="85">
        <v>0.2818</v>
      </c>
      <c r="Q642" s="85">
        <v>0.2921</v>
      </c>
      <c r="R642" s="85">
        <v>0.3024</v>
      </c>
      <c r="S642" s="85">
        <v>0.323</v>
      </c>
      <c r="T642" s="85">
        <v>0.3402</v>
      </c>
      <c r="U642" s="85">
        <v>0.3471</v>
      </c>
      <c r="V642" s="85">
        <v>0.3574</v>
      </c>
      <c r="W642" s="85">
        <v>0.3608</v>
      </c>
      <c r="X642" s="85">
        <v>0.3643</v>
      </c>
      <c r="Y642" s="85">
        <v>0.3643</v>
      </c>
      <c r="Z642" s="85">
        <v>0.3711</v>
      </c>
      <c r="AA642" s="85">
        <v>0.3746</v>
      </c>
      <c r="AB642" s="85">
        <v>0.3883</v>
      </c>
      <c r="AC642" s="85">
        <v>0.3986</v>
      </c>
      <c r="AD642" s="85">
        <v>0.3986</v>
      </c>
      <c r="AE642" s="85">
        <v>0.4055</v>
      </c>
      <c r="AF642" s="85">
        <v>0.4192</v>
      </c>
      <c r="AG642" s="85">
        <v>0.4192</v>
      </c>
      <c r="AH642" s="85">
        <v>0.4192</v>
      </c>
      <c r="AI642" s="85">
        <v>0.4261</v>
      </c>
      <c r="AJ642" s="85">
        <v>0.4296</v>
      </c>
      <c r="AK642" s="85">
        <v>0.4364</v>
      </c>
      <c r="AL642" s="85">
        <v>0.4364</v>
      </c>
      <c r="AM642" s="85">
        <v>0.4433</v>
      </c>
      <c r="AN642" s="85">
        <v>0.4433</v>
      </c>
      <c r="AO642" s="85">
        <v>0.4433</v>
      </c>
      <c r="AP642" s="85">
        <v>0.4433</v>
      </c>
      <c r="AQ642" s="85">
        <v>0.4639</v>
      </c>
      <c r="AR642" s="85">
        <v>0.4708</v>
      </c>
      <c r="AS642" s="85">
        <v>0.4742</v>
      </c>
      <c r="AT642" s="85">
        <v>0.488</v>
      </c>
      <c r="AU642" s="85">
        <v>0.5017</v>
      </c>
      <c r="AV642" s="85">
        <v>0.512</v>
      </c>
      <c r="AW642" s="85">
        <v>0.5292</v>
      </c>
      <c r="AX642" s="85">
        <v>0.5498</v>
      </c>
      <c r="AY642" s="85">
        <v>0.5498</v>
      </c>
      <c r="AZ642" s="85">
        <v>0.5567</v>
      </c>
      <c r="BA642" s="85">
        <v>0.5601</v>
      </c>
    </row>
    <row r="643" ht="15.75" customHeight="1">
      <c r="B643" s="52">
        <v>7.0</v>
      </c>
      <c r="C643" s="72">
        <v>0.04564</v>
      </c>
      <c r="D643" s="72">
        <v>0.44341</v>
      </c>
      <c r="E643" s="49">
        <v>279.0</v>
      </c>
      <c r="F643" s="57">
        <v>1.355</v>
      </c>
      <c r="G643" s="57">
        <v>3.792</v>
      </c>
      <c r="H643" s="85">
        <v>0.0</v>
      </c>
      <c r="I643" s="85">
        <v>0.0323</v>
      </c>
      <c r="J643" s="85">
        <v>0.0932</v>
      </c>
      <c r="K643" s="85">
        <v>0.1219</v>
      </c>
      <c r="L643" s="85">
        <v>0.147</v>
      </c>
      <c r="M643" s="85">
        <v>0.1649</v>
      </c>
      <c r="N643" s="85">
        <v>0.1935</v>
      </c>
      <c r="O643" s="85">
        <v>0.2079</v>
      </c>
      <c r="P643" s="85">
        <v>0.2222</v>
      </c>
      <c r="Q643" s="85">
        <v>0.2473</v>
      </c>
      <c r="R643" s="85">
        <v>0.2652</v>
      </c>
      <c r="S643" s="85">
        <v>0.2796</v>
      </c>
      <c r="T643" s="85">
        <v>0.2903</v>
      </c>
      <c r="U643" s="85">
        <v>0.3047</v>
      </c>
      <c r="V643" s="85">
        <v>0.3154</v>
      </c>
      <c r="W643" s="85">
        <v>0.3369</v>
      </c>
      <c r="X643" s="85">
        <v>0.3513</v>
      </c>
      <c r="Y643" s="85">
        <v>0.3656</v>
      </c>
      <c r="Z643" s="85">
        <v>0.3656</v>
      </c>
      <c r="AA643" s="85">
        <v>0.3835</v>
      </c>
      <c r="AB643" s="85">
        <v>0.3943</v>
      </c>
      <c r="AC643" s="85">
        <v>0.405</v>
      </c>
      <c r="AD643" s="85">
        <v>0.405</v>
      </c>
      <c r="AE643" s="85">
        <v>0.4122</v>
      </c>
      <c r="AF643" s="85">
        <v>0.4194</v>
      </c>
      <c r="AG643" s="85">
        <v>0.4265</v>
      </c>
      <c r="AH643" s="85">
        <v>0.4373</v>
      </c>
      <c r="AI643" s="85">
        <v>0.448</v>
      </c>
      <c r="AJ643" s="85">
        <v>0.4516</v>
      </c>
      <c r="AK643" s="85">
        <v>0.4624</v>
      </c>
      <c r="AL643" s="85">
        <v>0.4767</v>
      </c>
      <c r="AM643" s="85">
        <v>0.4803</v>
      </c>
      <c r="AN643" s="85">
        <v>0.4875</v>
      </c>
      <c r="AO643" s="85">
        <v>0.4875</v>
      </c>
      <c r="AP643" s="85">
        <v>0.4982</v>
      </c>
      <c r="AQ643" s="85">
        <v>0.5054</v>
      </c>
      <c r="AR643" s="85">
        <v>0.509</v>
      </c>
      <c r="AS643" s="85">
        <v>0.509</v>
      </c>
      <c r="AT643" s="85">
        <v>0.5197</v>
      </c>
      <c r="AU643" s="85">
        <v>0.5197</v>
      </c>
      <c r="AV643" s="85">
        <v>0.5233</v>
      </c>
      <c r="AW643" s="85">
        <v>0.5233</v>
      </c>
      <c r="AX643" s="85">
        <v>0.5269</v>
      </c>
      <c r="AY643" s="85">
        <v>0.5341</v>
      </c>
      <c r="AZ643" s="85">
        <v>0.5341</v>
      </c>
      <c r="BA643" s="85">
        <v>0.5341</v>
      </c>
    </row>
    <row r="644" ht="15.75" customHeight="1">
      <c r="B644" s="52">
        <v>8.0</v>
      </c>
      <c r="C644" s="72">
        <v>0.06492</v>
      </c>
      <c r="D644" s="72">
        <v>0.40428</v>
      </c>
      <c r="E644" s="49">
        <v>273.0</v>
      </c>
      <c r="F644" s="57">
        <v>1.67</v>
      </c>
      <c r="G644" s="57">
        <v>6.082</v>
      </c>
      <c r="H644" s="85">
        <v>0.0</v>
      </c>
      <c r="I644" s="85">
        <v>0.0366</v>
      </c>
      <c r="J644" s="85">
        <v>0.0696</v>
      </c>
      <c r="K644" s="85">
        <v>0.1099</v>
      </c>
      <c r="L644" s="85">
        <v>0.1905</v>
      </c>
      <c r="M644" s="85">
        <v>0.2161</v>
      </c>
      <c r="N644" s="85">
        <v>0.2308</v>
      </c>
      <c r="O644" s="85">
        <v>0.2454</v>
      </c>
      <c r="P644" s="85">
        <v>0.2491</v>
      </c>
      <c r="Q644" s="85">
        <v>0.2601</v>
      </c>
      <c r="R644" s="85">
        <v>0.2967</v>
      </c>
      <c r="S644" s="85">
        <v>0.326</v>
      </c>
      <c r="T644" s="85">
        <v>0.348</v>
      </c>
      <c r="U644" s="85">
        <v>0.37</v>
      </c>
      <c r="V644" s="85">
        <v>0.3993</v>
      </c>
      <c r="W644" s="85">
        <v>0.4103</v>
      </c>
      <c r="X644" s="85">
        <v>0.4249</v>
      </c>
      <c r="Y644" s="85">
        <v>0.4396</v>
      </c>
      <c r="Z644" s="85">
        <v>0.4432</v>
      </c>
      <c r="AA644" s="85">
        <v>0.4505</v>
      </c>
      <c r="AB644" s="85">
        <v>0.4579</v>
      </c>
      <c r="AC644" s="85">
        <v>0.4652</v>
      </c>
      <c r="AD644" s="85">
        <v>0.4689</v>
      </c>
      <c r="AE644" s="85">
        <v>0.4762</v>
      </c>
      <c r="AF644" s="85">
        <v>0.4835</v>
      </c>
      <c r="AG644" s="85">
        <v>0.4908</v>
      </c>
      <c r="AH644" s="85">
        <v>0.4982</v>
      </c>
      <c r="AI644" s="85">
        <v>0.5055</v>
      </c>
      <c r="AJ644" s="85">
        <v>0.5092</v>
      </c>
      <c r="AK644" s="85">
        <v>0.5165</v>
      </c>
      <c r="AL644" s="85">
        <v>0.5201</v>
      </c>
      <c r="AM644" s="85">
        <v>0.5238</v>
      </c>
      <c r="AN644" s="85">
        <v>0.5311</v>
      </c>
      <c r="AO644" s="85">
        <v>0.5348</v>
      </c>
      <c r="AP644" s="85">
        <v>0.5348</v>
      </c>
      <c r="AQ644" s="85">
        <v>0.5385</v>
      </c>
      <c r="AR644" s="85">
        <v>0.5458</v>
      </c>
      <c r="AS644" s="85">
        <v>0.5531</v>
      </c>
      <c r="AT644" s="85">
        <v>0.5531</v>
      </c>
      <c r="AU644" s="85">
        <v>0.5568</v>
      </c>
      <c r="AV644" s="85">
        <v>0.5568</v>
      </c>
      <c r="AW644" s="85">
        <v>0.5604</v>
      </c>
      <c r="AX644" s="85">
        <v>0.5641</v>
      </c>
      <c r="AY644" s="85">
        <v>0.5641</v>
      </c>
      <c r="AZ644" s="85">
        <v>0.5678</v>
      </c>
      <c r="BA644" s="85">
        <v>0.5678</v>
      </c>
    </row>
    <row r="645" ht="15.75" customHeight="1">
      <c r="B645" s="52">
        <v>9.0</v>
      </c>
      <c r="C645" s="72">
        <v>0.14655</v>
      </c>
      <c r="D645" s="72">
        <v>0.18584</v>
      </c>
      <c r="E645" s="49">
        <v>262.0</v>
      </c>
      <c r="F645" s="57">
        <v>2.237</v>
      </c>
      <c r="G645" s="57">
        <v>13.158</v>
      </c>
      <c r="H645" s="85">
        <v>0.0</v>
      </c>
      <c r="I645" s="85">
        <v>0.0725</v>
      </c>
      <c r="J645" s="85">
        <v>0.1412</v>
      </c>
      <c r="K645" s="85">
        <v>0.1756</v>
      </c>
      <c r="L645" s="85">
        <v>0.2214</v>
      </c>
      <c r="M645" s="85">
        <v>0.2519</v>
      </c>
      <c r="N645" s="85">
        <v>0.271</v>
      </c>
      <c r="O645" s="85">
        <v>0.3053</v>
      </c>
      <c r="P645" s="85">
        <v>0.3282</v>
      </c>
      <c r="Q645" s="85">
        <v>0.3359</v>
      </c>
      <c r="R645" s="85">
        <v>0.3397</v>
      </c>
      <c r="S645" s="85">
        <v>0.3511</v>
      </c>
      <c r="T645" s="85">
        <v>0.3511</v>
      </c>
      <c r="U645" s="85">
        <v>0.3702</v>
      </c>
      <c r="V645" s="85">
        <v>0.3855</v>
      </c>
      <c r="W645" s="85">
        <v>0.4008</v>
      </c>
      <c r="X645" s="85">
        <v>0.4084</v>
      </c>
      <c r="Y645" s="85">
        <v>0.4122</v>
      </c>
      <c r="Z645" s="85">
        <v>0.4198</v>
      </c>
      <c r="AA645" s="85">
        <v>0.4198</v>
      </c>
      <c r="AB645" s="85">
        <v>0.4198</v>
      </c>
      <c r="AC645" s="85">
        <v>0.4198</v>
      </c>
      <c r="AD645" s="85">
        <v>0.4237</v>
      </c>
      <c r="AE645" s="85">
        <v>0.4275</v>
      </c>
      <c r="AF645" s="85">
        <v>0.4313</v>
      </c>
      <c r="AG645" s="85">
        <v>0.4313</v>
      </c>
      <c r="AH645" s="85">
        <v>0.4351</v>
      </c>
      <c r="AI645" s="85">
        <v>0.4351</v>
      </c>
      <c r="AJ645" s="85">
        <v>0.4389</v>
      </c>
      <c r="AK645" s="85">
        <v>0.4427</v>
      </c>
      <c r="AL645" s="85">
        <v>0.4466</v>
      </c>
      <c r="AM645" s="85">
        <v>0.4466</v>
      </c>
      <c r="AN645" s="85">
        <v>0.4504</v>
      </c>
      <c r="AO645" s="85">
        <v>0.4504</v>
      </c>
      <c r="AP645" s="85">
        <v>0.4542</v>
      </c>
      <c r="AQ645" s="85">
        <v>0.4542</v>
      </c>
      <c r="AR645" s="85">
        <v>0.4542</v>
      </c>
      <c r="AS645" s="85">
        <v>0.4542</v>
      </c>
      <c r="AT645" s="85">
        <v>0.4618</v>
      </c>
      <c r="AU645" s="85">
        <v>0.4656</v>
      </c>
      <c r="AV645" s="85">
        <v>0.4656</v>
      </c>
      <c r="AW645" s="85">
        <v>0.4656</v>
      </c>
      <c r="AX645" s="85">
        <v>0.4656</v>
      </c>
      <c r="AY645" s="85">
        <v>0.4656</v>
      </c>
      <c r="AZ645" s="85">
        <v>0.4656</v>
      </c>
      <c r="BA645" s="85">
        <v>0.4695</v>
      </c>
    </row>
    <row r="646" ht="15.75" customHeight="1">
      <c r="B646" s="52">
        <v>10.0</v>
      </c>
      <c r="C646" s="72">
        <v>0.04368</v>
      </c>
      <c r="D646" s="72">
        <v>0.35294</v>
      </c>
      <c r="E646" s="49">
        <v>242.0</v>
      </c>
      <c r="F646" s="57">
        <v>1.273</v>
      </c>
      <c r="G646" s="57">
        <v>3.463</v>
      </c>
      <c r="H646" s="85">
        <v>0.0</v>
      </c>
      <c r="I646" s="85">
        <v>0.0331</v>
      </c>
      <c r="J646" s="85">
        <v>0.0579</v>
      </c>
      <c r="K646" s="85">
        <v>0.0868</v>
      </c>
      <c r="L646" s="85">
        <v>0.1322</v>
      </c>
      <c r="M646" s="85">
        <v>0.1446</v>
      </c>
      <c r="N646" s="85">
        <v>0.157</v>
      </c>
      <c r="O646" s="85">
        <v>0.1818</v>
      </c>
      <c r="P646" s="85">
        <v>0.219</v>
      </c>
      <c r="Q646" s="85">
        <v>0.2355</v>
      </c>
      <c r="R646" s="85">
        <v>0.2438</v>
      </c>
      <c r="S646" s="85">
        <v>0.2521</v>
      </c>
      <c r="T646" s="85">
        <v>0.2645</v>
      </c>
      <c r="U646" s="85">
        <v>0.2769</v>
      </c>
      <c r="V646" s="85">
        <v>0.3058</v>
      </c>
      <c r="W646" s="85">
        <v>0.3264</v>
      </c>
      <c r="X646" s="85">
        <v>0.3347</v>
      </c>
      <c r="Y646" s="85">
        <v>0.3347</v>
      </c>
      <c r="Z646" s="85">
        <v>0.343</v>
      </c>
      <c r="AA646" s="85">
        <v>0.3471</v>
      </c>
      <c r="AB646" s="85">
        <v>0.3595</v>
      </c>
      <c r="AC646" s="85">
        <v>0.3719</v>
      </c>
      <c r="AD646" s="85">
        <v>0.3843</v>
      </c>
      <c r="AE646" s="85">
        <v>0.3926</v>
      </c>
      <c r="AF646" s="85">
        <v>0.3967</v>
      </c>
      <c r="AG646" s="85">
        <v>0.405</v>
      </c>
      <c r="AH646" s="85">
        <v>0.405</v>
      </c>
      <c r="AI646" s="85">
        <v>0.4091</v>
      </c>
      <c r="AJ646" s="85">
        <v>0.4132</v>
      </c>
      <c r="AK646" s="85">
        <v>0.4174</v>
      </c>
      <c r="AL646" s="85">
        <v>0.4215</v>
      </c>
      <c r="AM646" s="85">
        <v>0.4256</v>
      </c>
      <c r="AN646" s="85">
        <v>0.4339</v>
      </c>
      <c r="AO646" s="85">
        <v>0.438</v>
      </c>
      <c r="AP646" s="85">
        <v>0.4421</v>
      </c>
      <c r="AQ646" s="85">
        <v>0.4463</v>
      </c>
      <c r="AR646" s="85">
        <v>0.4463</v>
      </c>
      <c r="AS646" s="85">
        <v>0.4545</v>
      </c>
      <c r="AT646" s="85">
        <v>0.4587</v>
      </c>
      <c r="AU646" s="85">
        <v>0.4628</v>
      </c>
      <c r="AV646" s="85">
        <v>0.4711</v>
      </c>
      <c r="AW646" s="85">
        <v>0.4752</v>
      </c>
      <c r="AX646" s="85">
        <v>0.4793</v>
      </c>
      <c r="AY646" s="85">
        <v>0.4835</v>
      </c>
      <c r="AZ646" s="85">
        <v>0.4917</v>
      </c>
      <c r="BA646" s="85">
        <v>0.4917</v>
      </c>
    </row>
    <row r="647" ht="15.75" customHeight="1">
      <c r="B647" s="52">
        <v>11.0</v>
      </c>
      <c r="C647" s="72">
        <v>0.06861</v>
      </c>
      <c r="D647" s="72">
        <v>0.32453</v>
      </c>
      <c r="E647" s="49">
        <v>235.0</v>
      </c>
      <c r="F647" s="57">
        <v>1.664</v>
      </c>
      <c r="G647" s="57">
        <v>7.67</v>
      </c>
      <c r="H647" s="85">
        <v>0.0</v>
      </c>
      <c r="I647" s="85">
        <v>0.0553</v>
      </c>
      <c r="J647" s="85">
        <v>0.1191</v>
      </c>
      <c r="K647" s="85">
        <v>0.1617</v>
      </c>
      <c r="L647" s="85">
        <v>0.1915</v>
      </c>
      <c r="M647" s="85">
        <v>0.2128</v>
      </c>
      <c r="N647" s="85">
        <v>0.234</v>
      </c>
      <c r="O647" s="85">
        <v>0.2511</v>
      </c>
      <c r="P647" s="85">
        <v>0.2723</v>
      </c>
      <c r="Q647" s="85">
        <v>0.2723</v>
      </c>
      <c r="R647" s="85">
        <v>0.2894</v>
      </c>
      <c r="S647" s="85">
        <v>0.3149</v>
      </c>
      <c r="T647" s="85">
        <v>0.3277</v>
      </c>
      <c r="U647" s="85">
        <v>0.3489</v>
      </c>
      <c r="V647" s="85">
        <v>0.3617</v>
      </c>
      <c r="W647" s="85">
        <v>0.383</v>
      </c>
      <c r="X647" s="85">
        <v>0.3957</v>
      </c>
      <c r="Y647" s="85">
        <v>0.3957</v>
      </c>
      <c r="Z647" s="85">
        <v>0.4</v>
      </c>
      <c r="AA647" s="85">
        <v>0.4043</v>
      </c>
      <c r="AB647" s="85">
        <v>0.4213</v>
      </c>
      <c r="AC647" s="85">
        <v>0.4255</v>
      </c>
      <c r="AD647" s="85">
        <v>0.4298</v>
      </c>
      <c r="AE647" s="85">
        <v>0.434</v>
      </c>
      <c r="AF647" s="85">
        <v>0.4511</v>
      </c>
      <c r="AG647" s="85">
        <v>0.4511</v>
      </c>
      <c r="AH647" s="85">
        <v>0.4511</v>
      </c>
      <c r="AI647" s="85">
        <v>0.4553</v>
      </c>
      <c r="AJ647" s="85">
        <v>0.4553</v>
      </c>
      <c r="AK647" s="85">
        <v>0.4596</v>
      </c>
      <c r="AL647" s="85">
        <v>0.4681</v>
      </c>
      <c r="AM647" s="85">
        <v>0.4809</v>
      </c>
      <c r="AN647" s="85">
        <v>0.4809</v>
      </c>
      <c r="AO647" s="85">
        <v>0.4851</v>
      </c>
      <c r="AP647" s="85">
        <v>0.4894</v>
      </c>
      <c r="AQ647" s="85">
        <v>0.4979</v>
      </c>
      <c r="AR647" s="85">
        <v>0.5149</v>
      </c>
      <c r="AS647" s="85">
        <v>0.5191</v>
      </c>
      <c r="AT647" s="85">
        <v>0.5234</v>
      </c>
      <c r="AU647" s="85">
        <v>0.5234</v>
      </c>
      <c r="AV647" s="85">
        <v>0.5234</v>
      </c>
      <c r="AW647" s="85">
        <v>0.5234</v>
      </c>
      <c r="AX647" s="85">
        <v>0.5277</v>
      </c>
      <c r="AY647" s="85">
        <v>0.5319</v>
      </c>
      <c r="AZ647" s="85">
        <v>0.5319</v>
      </c>
      <c r="BA647" s="85">
        <v>0.5319</v>
      </c>
    </row>
    <row r="648" ht="15.75" customHeight="1">
      <c r="B648" s="52">
        <v>12.0</v>
      </c>
      <c r="C648" s="72">
        <v>0.04956</v>
      </c>
      <c r="D648" s="72">
        <v>0.24167</v>
      </c>
      <c r="E648" s="49">
        <v>218.0</v>
      </c>
      <c r="F648" s="57">
        <v>0.936</v>
      </c>
      <c r="G648" s="57">
        <v>2.482</v>
      </c>
      <c r="H648" s="85">
        <v>0.0</v>
      </c>
      <c r="I648" s="85">
        <v>0.0367</v>
      </c>
      <c r="J648" s="85">
        <v>0.078</v>
      </c>
      <c r="K648" s="85">
        <v>0.1009</v>
      </c>
      <c r="L648" s="85">
        <v>0.1284</v>
      </c>
      <c r="M648" s="85">
        <v>0.1514</v>
      </c>
      <c r="N648" s="85">
        <v>0.1651</v>
      </c>
      <c r="O648" s="85">
        <v>0.1743</v>
      </c>
      <c r="P648" s="85">
        <v>0.2064</v>
      </c>
      <c r="Q648" s="85">
        <v>0.2156</v>
      </c>
      <c r="R648" s="85">
        <v>0.2202</v>
      </c>
      <c r="S648" s="85">
        <v>0.2339</v>
      </c>
      <c r="T648" s="85">
        <v>0.2569</v>
      </c>
      <c r="U648" s="85">
        <v>0.2798</v>
      </c>
      <c r="V648" s="85">
        <v>0.2844</v>
      </c>
      <c r="W648" s="85">
        <v>0.2936</v>
      </c>
      <c r="X648" s="85">
        <v>0.3028</v>
      </c>
      <c r="Y648" s="85">
        <v>0.3165</v>
      </c>
      <c r="Z648" s="85">
        <v>0.3165</v>
      </c>
      <c r="AA648" s="85">
        <v>0.3211</v>
      </c>
      <c r="AB648" s="85">
        <v>0.3257</v>
      </c>
      <c r="AC648" s="85">
        <v>0.3303</v>
      </c>
      <c r="AD648" s="85">
        <v>0.3349</v>
      </c>
      <c r="AE648" s="85">
        <v>0.3486</v>
      </c>
      <c r="AF648" s="85">
        <v>0.3532</v>
      </c>
      <c r="AG648" s="85">
        <v>0.3578</v>
      </c>
      <c r="AH648" s="85">
        <v>0.3578</v>
      </c>
      <c r="AI648" s="85">
        <v>0.367</v>
      </c>
      <c r="AJ648" s="85">
        <v>0.3807</v>
      </c>
      <c r="AK648" s="85">
        <v>0.3853</v>
      </c>
      <c r="AL648" s="85">
        <v>0.3853</v>
      </c>
      <c r="AM648" s="85">
        <v>0.3945</v>
      </c>
      <c r="AN648" s="85">
        <v>0.4037</v>
      </c>
      <c r="AO648" s="85">
        <v>0.4083</v>
      </c>
      <c r="AP648" s="85">
        <v>0.4174</v>
      </c>
      <c r="AQ648" s="85">
        <v>0.4174</v>
      </c>
      <c r="AR648" s="85">
        <v>0.4174</v>
      </c>
      <c r="AS648" s="85">
        <v>0.422</v>
      </c>
      <c r="AT648" s="85">
        <v>0.422</v>
      </c>
      <c r="AU648" s="85">
        <v>0.422</v>
      </c>
      <c r="AV648" s="85">
        <v>0.422</v>
      </c>
      <c r="AW648" s="85">
        <v>0.422</v>
      </c>
      <c r="AX648" s="85">
        <v>0.422</v>
      </c>
      <c r="AY648" s="85">
        <v>0.422</v>
      </c>
      <c r="AZ648" s="85">
        <v>0.422</v>
      </c>
      <c r="BA648" s="85">
        <v>0.422</v>
      </c>
    </row>
    <row r="649" ht="15.75" customHeight="1">
      <c r="B649" s="52">
        <v>13.0</v>
      </c>
      <c r="C649" s="72">
        <v>0.08443</v>
      </c>
      <c r="D649" s="72">
        <v>0.28667</v>
      </c>
      <c r="E649" s="49">
        <v>187.0</v>
      </c>
      <c r="F649" s="57">
        <v>1.385</v>
      </c>
      <c r="G649" s="57">
        <v>4.108</v>
      </c>
      <c r="H649" s="85">
        <v>0.0</v>
      </c>
      <c r="I649" s="85">
        <v>0.0588</v>
      </c>
      <c r="J649" s="85">
        <v>0.1016</v>
      </c>
      <c r="K649" s="85">
        <v>0.123</v>
      </c>
      <c r="L649" s="85">
        <v>0.1604</v>
      </c>
      <c r="M649" s="85">
        <v>0.2032</v>
      </c>
      <c r="N649" s="85">
        <v>0.2567</v>
      </c>
      <c r="O649" s="85">
        <v>0.2727</v>
      </c>
      <c r="P649" s="85">
        <v>0.2995</v>
      </c>
      <c r="Q649" s="85">
        <v>0.3262</v>
      </c>
      <c r="R649" s="85">
        <v>0.3422</v>
      </c>
      <c r="S649" s="85">
        <v>0.3529</v>
      </c>
      <c r="T649" s="85">
        <v>0.3583</v>
      </c>
      <c r="U649" s="85">
        <v>0.369</v>
      </c>
      <c r="V649" s="85">
        <v>0.3904</v>
      </c>
      <c r="W649" s="85">
        <v>0.4011</v>
      </c>
      <c r="X649" s="85">
        <v>0.4118</v>
      </c>
      <c r="Y649" s="85">
        <v>0.4171</v>
      </c>
      <c r="Z649" s="85">
        <v>0.4225</v>
      </c>
      <c r="AA649" s="85">
        <v>0.4278</v>
      </c>
      <c r="AB649" s="85">
        <v>0.4332</v>
      </c>
      <c r="AC649" s="85">
        <v>0.4385</v>
      </c>
      <c r="AD649" s="85">
        <v>0.4492</v>
      </c>
      <c r="AE649" s="85">
        <v>0.4492</v>
      </c>
      <c r="AF649" s="85">
        <v>0.4492</v>
      </c>
      <c r="AG649" s="85">
        <v>0.4492</v>
      </c>
      <c r="AH649" s="85">
        <v>0.4492</v>
      </c>
      <c r="AI649" s="85">
        <v>0.4759</v>
      </c>
      <c r="AJ649" s="85">
        <v>0.4813</v>
      </c>
      <c r="AK649" s="85">
        <v>0.4866</v>
      </c>
      <c r="AL649" s="85">
        <v>0.4866</v>
      </c>
      <c r="AM649" s="85">
        <v>0.4866</v>
      </c>
      <c r="AN649" s="85">
        <v>0.4866</v>
      </c>
      <c r="AO649" s="85">
        <v>0.4866</v>
      </c>
      <c r="AP649" s="85">
        <v>0.4866</v>
      </c>
      <c r="AQ649" s="85">
        <v>0.4973</v>
      </c>
      <c r="AR649" s="85">
        <v>0.4973</v>
      </c>
      <c r="AS649" s="85">
        <v>0.5027</v>
      </c>
      <c r="AT649" s="85">
        <v>0.5187</v>
      </c>
      <c r="AU649" s="85">
        <v>0.5241</v>
      </c>
      <c r="AV649" s="85">
        <v>0.5241</v>
      </c>
      <c r="AW649" s="85">
        <v>0.5241</v>
      </c>
      <c r="AX649" s="85">
        <v>0.5241</v>
      </c>
      <c r="AY649" s="85">
        <v>0.5294</v>
      </c>
      <c r="AZ649" s="85">
        <v>0.5294</v>
      </c>
      <c r="BA649" s="85">
        <v>0.5294</v>
      </c>
    </row>
    <row r="650" ht="15.75" customHeight="1">
      <c r="B650" s="52">
        <v>14.0</v>
      </c>
      <c r="C650" s="72">
        <v>0.06943</v>
      </c>
      <c r="D650" s="72">
        <v>0.33636</v>
      </c>
      <c r="E650" s="49">
        <v>170.0</v>
      </c>
      <c r="F650" s="57">
        <v>1.541</v>
      </c>
      <c r="G650" s="57">
        <v>6.848</v>
      </c>
      <c r="H650" s="85">
        <v>0.0</v>
      </c>
      <c r="I650" s="85">
        <v>0.0706</v>
      </c>
      <c r="J650" s="85">
        <v>0.1</v>
      </c>
      <c r="K650" s="85">
        <v>0.1412</v>
      </c>
      <c r="L650" s="85">
        <v>0.2</v>
      </c>
      <c r="M650" s="85">
        <v>0.2235</v>
      </c>
      <c r="N650" s="85">
        <v>0.2294</v>
      </c>
      <c r="O650" s="85">
        <v>0.2647</v>
      </c>
      <c r="P650" s="85">
        <v>0.2941</v>
      </c>
      <c r="Q650" s="85">
        <v>0.3235</v>
      </c>
      <c r="R650" s="85">
        <v>0.3294</v>
      </c>
      <c r="S650" s="85">
        <v>0.3412</v>
      </c>
      <c r="T650" s="85">
        <v>0.3471</v>
      </c>
      <c r="U650" s="85">
        <v>0.3588</v>
      </c>
      <c r="V650" s="85">
        <v>0.3706</v>
      </c>
      <c r="W650" s="85">
        <v>0.3824</v>
      </c>
      <c r="X650" s="85">
        <v>0.3882</v>
      </c>
      <c r="Y650" s="85">
        <v>0.3882</v>
      </c>
      <c r="Z650" s="85">
        <v>0.3941</v>
      </c>
      <c r="AA650" s="85">
        <v>0.4</v>
      </c>
      <c r="AB650" s="85">
        <v>0.4118</v>
      </c>
      <c r="AC650" s="85">
        <v>0.4235</v>
      </c>
      <c r="AD650" s="85">
        <v>0.4353</v>
      </c>
      <c r="AE650" s="85">
        <v>0.4412</v>
      </c>
      <c r="AF650" s="85">
        <v>0.4471</v>
      </c>
      <c r="AG650" s="85">
        <v>0.4471</v>
      </c>
      <c r="AH650" s="85">
        <v>0.4529</v>
      </c>
      <c r="AI650" s="85">
        <v>0.4588</v>
      </c>
      <c r="AJ650" s="85">
        <v>0.4588</v>
      </c>
      <c r="AK650" s="85">
        <v>0.4588</v>
      </c>
      <c r="AL650" s="85">
        <v>0.4647</v>
      </c>
      <c r="AM650" s="85">
        <v>0.4765</v>
      </c>
      <c r="AN650" s="85">
        <v>0.4765</v>
      </c>
      <c r="AO650" s="85">
        <v>0.4824</v>
      </c>
      <c r="AP650" s="85">
        <v>0.5</v>
      </c>
      <c r="AQ650" s="85">
        <v>0.5059</v>
      </c>
      <c r="AR650" s="85">
        <v>0.5118</v>
      </c>
      <c r="AS650" s="85">
        <v>0.5118</v>
      </c>
      <c r="AT650" s="85">
        <v>0.5176</v>
      </c>
      <c r="AU650" s="85">
        <v>0.5176</v>
      </c>
      <c r="AV650" s="85">
        <v>0.5294</v>
      </c>
      <c r="AW650" s="85">
        <v>0.5353</v>
      </c>
      <c r="AX650" s="85">
        <v>0.5353</v>
      </c>
      <c r="AY650" s="85">
        <v>0.5353</v>
      </c>
      <c r="AZ650" s="85">
        <v>0.5412</v>
      </c>
      <c r="BA650" s="85">
        <v>0.5471</v>
      </c>
    </row>
    <row r="651" ht="15.75" customHeight="1">
      <c r="B651" s="52">
        <v>15.0</v>
      </c>
      <c r="C651" s="72">
        <v>0.05872</v>
      </c>
      <c r="D651" s="72">
        <v>0.29139</v>
      </c>
      <c r="E651" s="49">
        <v>151.0</v>
      </c>
      <c r="F651" s="57">
        <v>1.483</v>
      </c>
      <c r="G651" s="57">
        <v>6.117</v>
      </c>
      <c r="H651" s="85">
        <v>0.0</v>
      </c>
      <c r="I651" s="85">
        <v>0.0596</v>
      </c>
      <c r="J651" s="85">
        <v>0.0927</v>
      </c>
      <c r="K651" s="85">
        <v>0.1258</v>
      </c>
      <c r="L651" s="85">
        <v>0.1589</v>
      </c>
      <c r="M651" s="85">
        <v>0.1854</v>
      </c>
      <c r="N651" s="85">
        <v>0.2185</v>
      </c>
      <c r="O651" s="85">
        <v>0.2318</v>
      </c>
      <c r="P651" s="85">
        <v>0.2583</v>
      </c>
      <c r="Q651" s="85">
        <v>0.2715</v>
      </c>
      <c r="R651" s="85">
        <v>0.2848</v>
      </c>
      <c r="S651" s="85">
        <v>0.3046</v>
      </c>
      <c r="T651" s="85">
        <v>0.3113</v>
      </c>
      <c r="U651" s="85">
        <v>0.3179</v>
      </c>
      <c r="V651" s="85">
        <v>0.3245</v>
      </c>
      <c r="W651" s="85">
        <v>0.3311</v>
      </c>
      <c r="X651" s="85">
        <v>0.3377</v>
      </c>
      <c r="Y651" s="85">
        <v>0.351</v>
      </c>
      <c r="Z651" s="85">
        <v>0.351</v>
      </c>
      <c r="AA651" s="85">
        <v>0.351</v>
      </c>
      <c r="AB651" s="85">
        <v>0.3576</v>
      </c>
      <c r="AC651" s="85">
        <v>0.3642</v>
      </c>
      <c r="AD651" s="85">
        <v>0.3642</v>
      </c>
      <c r="AE651" s="85">
        <v>0.3841</v>
      </c>
      <c r="AF651" s="85">
        <v>0.3974</v>
      </c>
      <c r="AG651" s="85">
        <v>0.3974</v>
      </c>
      <c r="AH651" s="85">
        <v>0.3974</v>
      </c>
      <c r="AI651" s="85">
        <v>0.4106</v>
      </c>
      <c r="AJ651" s="85">
        <v>0.4106</v>
      </c>
      <c r="AK651" s="85">
        <v>0.4172</v>
      </c>
      <c r="AL651" s="85">
        <v>0.4238</v>
      </c>
      <c r="AM651" s="85">
        <v>0.4371</v>
      </c>
      <c r="AN651" s="85">
        <v>0.4371</v>
      </c>
      <c r="AO651" s="85">
        <v>0.4437</v>
      </c>
      <c r="AP651" s="85">
        <v>0.4503</v>
      </c>
      <c r="AQ651" s="85">
        <v>0.4636</v>
      </c>
      <c r="AR651" s="85">
        <v>0.4636</v>
      </c>
      <c r="AS651" s="85">
        <v>0.4768</v>
      </c>
      <c r="AT651" s="85">
        <v>0.4768</v>
      </c>
      <c r="AU651" s="85">
        <v>0.4834</v>
      </c>
      <c r="AV651" s="85">
        <v>0.4834</v>
      </c>
      <c r="AW651" s="85">
        <v>0.4901</v>
      </c>
      <c r="AX651" s="85">
        <v>0.4901</v>
      </c>
      <c r="AY651" s="85">
        <v>0.4901</v>
      </c>
      <c r="AZ651" s="85">
        <v>0.4901</v>
      </c>
      <c r="BA651" s="85">
        <v>0.4967</v>
      </c>
    </row>
    <row r="652" ht="15.75" customHeight="1">
      <c r="B652" s="52">
        <v>16.0</v>
      </c>
      <c r="C652" s="72">
        <v>0.03978</v>
      </c>
      <c r="D652" s="72">
        <v>0.33676</v>
      </c>
      <c r="E652" s="49">
        <v>152.0</v>
      </c>
      <c r="F652" s="57">
        <v>1.151</v>
      </c>
      <c r="G652" s="57">
        <v>3.734</v>
      </c>
      <c r="H652" s="85">
        <v>0.0</v>
      </c>
      <c r="I652" s="85">
        <v>0.0461</v>
      </c>
      <c r="J652" s="85">
        <v>0.1118</v>
      </c>
      <c r="K652" s="85">
        <v>0.1184</v>
      </c>
      <c r="L652" s="85">
        <v>0.1316</v>
      </c>
      <c r="M652" s="85">
        <v>0.1447</v>
      </c>
      <c r="N652" s="85">
        <v>0.1711</v>
      </c>
      <c r="O652" s="85">
        <v>0.1908</v>
      </c>
      <c r="P652" s="85">
        <v>0.2171</v>
      </c>
      <c r="Q652" s="85">
        <v>0.2303</v>
      </c>
      <c r="R652" s="85">
        <v>0.2303</v>
      </c>
      <c r="S652" s="85">
        <v>0.2434</v>
      </c>
      <c r="T652" s="85">
        <v>0.2566</v>
      </c>
      <c r="U652" s="85">
        <v>0.2763</v>
      </c>
      <c r="V652" s="85">
        <v>0.2829</v>
      </c>
      <c r="W652" s="85">
        <v>0.2829</v>
      </c>
      <c r="X652" s="85">
        <v>0.2961</v>
      </c>
      <c r="Y652" s="85">
        <v>0.3026</v>
      </c>
      <c r="Z652" s="85">
        <v>0.3158</v>
      </c>
      <c r="AA652" s="85">
        <v>0.3158</v>
      </c>
      <c r="AB652" s="85">
        <v>0.3158</v>
      </c>
      <c r="AC652" s="85">
        <v>0.3224</v>
      </c>
      <c r="AD652" s="85">
        <v>0.3355</v>
      </c>
      <c r="AE652" s="85">
        <v>0.3421</v>
      </c>
      <c r="AF652" s="85">
        <v>0.3421</v>
      </c>
      <c r="AG652" s="85">
        <v>0.3487</v>
      </c>
      <c r="AH652" s="85">
        <v>0.3684</v>
      </c>
      <c r="AI652" s="85">
        <v>0.3816</v>
      </c>
      <c r="AJ652" s="85">
        <v>0.3947</v>
      </c>
      <c r="AK652" s="85">
        <v>0.4013</v>
      </c>
      <c r="AL652" s="85">
        <v>0.4013</v>
      </c>
      <c r="AM652" s="85">
        <v>0.4013</v>
      </c>
      <c r="AN652" s="85">
        <v>0.4079</v>
      </c>
      <c r="AO652" s="85">
        <v>0.4145</v>
      </c>
      <c r="AP652" s="85">
        <v>0.4276</v>
      </c>
      <c r="AQ652" s="85">
        <v>0.4276</v>
      </c>
      <c r="AR652" s="85">
        <v>0.4276</v>
      </c>
      <c r="AS652" s="85">
        <v>0.4276</v>
      </c>
      <c r="AT652" s="85">
        <v>0.4342</v>
      </c>
      <c r="AU652" s="85">
        <v>0.4342</v>
      </c>
      <c r="AV652" s="85">
        <v>0.4408</v>
      </c>
      <c r="AW652" s="85">
        <v>0.4474</v>
      </c>
      <c r="AX652" s="85">
        <v>0.4539</v>
      </c>
      <c r="AY652" s="85">
        <v>0.4605</v>
      </c>
      <c r="AZ652" s="85">
        <v>0.4605</v>
      </c>
      <c r="BA652" s="85">
        <v>0.4605</v>
      </c>
    </row>
    <row r="653" ht="15.75" customHeight="1">
      <c r="B653" s="52">
        <v>17.0</v>
      </c>
      <c r="C653" s="72">
        <v>0.13318</v>
      </c>
      <c r="D653" s="72">
        <v>0.18516</v>
      </c>
      <c r="E653" s="49">
        <v>159.0</v>
      </c>
      <c r="F653" s="57">
        <v>2.113</v>
      </c>
      <c r="G653" s="57">
        <v>18.289</v>
      </c>
      <c r="H653" s="85">
        <v>0.0</v>
      </c>
      <c r="I653" s="85">
        <v>0.0943</v>
      </c>
      <c r="J653" s="85">
        <v>0.1447</v>
      </c>
      <c r="K653" s="85">
        <v>0.1887</v>
      </c>
      <c r="L653" s="85">
        <v>0.2138</v>
      </c>
      <c r="M653" s="85">
        <v>0.2453</v>
      </c>
      <c r="N653" s="85">
        <v>0.2642</v>
      </c>
      <c r="O653" s="85">
        <v>0.2767</v>
      </c>
      <c r="P653" s="85">
        <v>0.2893</v>
      </c>
      <c r="Q653" s="85">
        <v>0.3145</v>
      </c>
      <c r="R653" s="85">
        <v>0.327</v>
      </c>
      <c r="S653" s="85">
        <v>0.327</v>
      </c>
      <c r="T653" s="85">
        <v>0.3459</v>
      </c>
      <c r="U653" s="85">
        <v>0.3522</v>
      </c>
      <c r="V653" s="85">
        <v>0.3648</v>
      </c>
      <c r="W653" s="85">
        <v>0.3836</v>
      </c>
      <c r="X653" s="85">
        <v>0.3899</v>
      </c>
      <c r="Y653" s="85">
        <v>0.3962</v>
      </c>
      <c r="Z653" s="85">
        <v>0.3962</v>
      </c>
      <c r="AA653" s="85">
        <v>0.3962</v>
      </c>
      <c r="AB653" s="85">
        <v>0.3962</v>
      </c>
      <c r="AC653" s="85">
        <v>0.3962</v>
      </c>
      <c r="AD653" s="85">
        <v>0.4088</v>
      </c>
      <c r="AE653" s="85">
        <v>0.4151</v>
      </c>
      <c r="AF653" s="85">
        <v>0.4151</v>
      </c>
      <c r="AG653" s="85">
        <v>0.4151</v>
      </c>
      <c r="AH653" s="85">
        <v>0.4151</v>
      </c>
      <c r="AI653" s="85">
        <v>0.4214</v>
      </c>
      <c r="AJ653" s="85">
        <v>0.4214</v>
      </c>
      <c r="AK653" s="85">
        <v>0.4465</v>
      </c>
      <c r="AL653" s="85">
        <v>0.4465</v>
      </c>
      <c r="AM653" s="85">
        <v>0.4465</v>
      </c>
      <c r="AN653" s="85">
        <v>0.4465</v>
      </c>
      <c r="AO653" s="85">
        <v>0.4465</v>
      </c>
      <c r="AP653" s="85">
        <v>0.4465</v>
      </c>
      <c r="AQ653" s="85">
        <v>0.4528</v>
      </c>
      <c r="AR653" s="85">
        <v>0.4528</v>
      </c>
      <c r="AS653" s="85">
        <v>0.4591</v>
      </c>
      <c r="AT653" s="85">
        <v>0.4591</v>
      </c>
      <c r="AU653" s="85">
        <v>0.4591</v>
      </c>
      <c r="AV653" s="85">
        <v>0.4654</v>
      </c>
      <c r="AW653" s="85">
        <v>0.4654</v>
      </c>
      <c r="AX653" s="85">
        <v>0.4717</v>
      </c>
      <c r="AY653" s="85">
        <v>0.478</v>
      </c>
      <c r="AZ653" s="85">
        <v>0.478</v>
      </c>
      <c r="BA653" s="85">
        <v>0.478</v>
      </c>
    </row>
    <row r="654" ht="15.75" customHeight="1">
      <c r="B654" s="52">
        <v>18.0</v>
      </c>
      <c r="C654" s="72">
        <v>0.10006</v>
      </c>
      <c r="D654" s="72">
        <v>0.12603</v>
      </c>
      <c r="E654" s="49">
        <v>89.0</v>
      </c>
      <c r="F654" s="57">
        <v>1.27</v>
      </c>
      <c r="G654" s="57">
        <v>6.242</v>
      </c>
      <c r="H654" s="85">
        <v>0.0</v>
      </c>
      <c r="I654" s="85">
        <v>0.0674</v>
      </c>
      <c r="J654" s="85">
        <v>0.1011</v>
      </c>
      <c r="K654" s="85">
        <v>0.1348</v>
      </c>
      <c r="L654" s="85">
        <v>0.1685</v>
      </c>
      <c r="M654" s="85">
        <v>0.191</v>
      </c>
      <c r="N654" s="85">
        <v>0.2247</v>
      </c>
      <c r="O654" s="85">
        <v>0.2247</v>
      </c>
      <c r="P654" s="85">
        <v>0.2247</v>
      </c>
      <c r="Q654" s="85">
        <v>0.236</v>
      </c>
      <c r="R654" s="85">
        <v>0.236</v>
      </c>
      <c r="S654" s="85">
        <v>0.2472</v>
      </c>
      <c r="T654" s="85">
        <v>0.2472</v>
      </c>
      <c r="U654" s="85">
        <v>0.2584</v>
      </c>
      <c r="V654" s="85">
        <v>0.2809</v>
      </c>
      <c r="W654" s="85">
        <v>0.2809</v>
      </c>
      <c r="X654" s="85">
        <v>0.2809</v>
      </c>
      <c r="Y654" s="85">
        <v>0.2809</v>
      </c>
      <c r="Z654" s="85">
        <v>0.2809</v>
      </c>
      <c r="AA654" s="85">
        <v>0.2809</v>
      </c>
      <c r="AB654" s="85">
        <v>0.2809</v>
      </c>
      <c r="AC654" s="85">
        <v>0.2809</v>
      </c>
      <c r="AD654" s="85">
        <v>0.2809</v>
      </c>
      <c r="AE654" s="85">
        <v>0.2809</v>
      </c>
      <c r="AF654" s="85">
        <v>0.2921</v>
      </c>
      <c r="AG654" s="85">
        <v>0.3146</v>
      </c>
      <c r="AH654" s="85">
        <v>0.3258</v>
      </c>
      <c r="AI654" s="85">
        <v>0.3258</v>
      </c>
      <c r="AJ654" s="85">
        <v>0.3371</v>
      </c>
      <c r="AK654" s="85">
        <v>0.3371</v>
      </c>
      <c r="AL654" s="85">
        <v>0.3483</v>
      </c>
      <c r="AM654" s="85">
        <v>0.3483</v>
      </c>
      <c r="AN654" s="85">
        <v>0.3483</v>
      </c>
      <c r="AO654" s="85">
        <v>0.3596</v>
      </c>
      <c r="AP654" s="85">
        <v>0.3596</v>
      </c>
      <c r="AQ654" s="85">
        <v>0.3596</v>
      </c>
      <c r="AR654" s="85">
        <v>0.3596</v>
      </c>
      <c r="AS654" s="85">
        <v>0.3596</v>
      </c>
      <c r="AT654" s="85">
        <v>0.3596</v>
      </c>
      <c r="AU654" s="85">
        <v>0.3596</v>
      </c>
      <c r="AV654" s="85">
        <v>0.3596</v>
      </c>
      <c r="AW654" s="85">
        <v>0.3708</v>
      </c>
      <c r="AX654" s="85">
        <v>0.3708</v>
      </c>
      <c r="AY654" s="85">
        <v>0.3708</v>
      </c>
      <c r="AZ654" s="85">
        <v>0.3708</v>
      </c>
      <c r="BA654" s="85">
        <v>0.3708</v>
      </c>
    </row>
    <row r="655" ht="15.75" customHeight="1">
      <c r="B655" s="52">
        <v>19.0</v>
      </c>
      <c r="C655" s="72">
        <v>0.07132</v>
      </c>
      <c r="D655" s="72">
        <v>0.41087</v>
      </c>
      <c r="E655" s="49">
        <v>147.0</v>
      </c>
      <c r="F655" s="57">
        <v>2.204</v>
      </c>
      <c r="G655" s="57">
        <v>11.305</v>
      </c>
      <c r="H655" s="85">
        <v>0.0</v>
      </c>
      <c r="I655" s="85">
        <v>0.0612</v>
      </c>
      <c r="J655" s="85">
        <v>0.0884</v>
      </c>
      <c r="K655" s="85">
        <v>0.1497</v>
      </c>
      <c r="L655" s="85">
        <v>0.2109</v>
      </c>
      <c r="M655" s="85">
        <v>0.2381</v>
      </c>
      <c r="N655" s="85">
        <v>0.2721</v>
      </c>
      <c r="O655" s="85">
        <v>0.3061</v>
      </c>
      <c r="P655" s="85">
        <v>0.3265</v>
      </c>
      <c r="Q655" s="85">
        <v>0.3469</v>
      </c>
      <c r="R655" s="85">
        <v>0.3469</v>
      </c>
      <c r="S655" s="85">
        <v>0.3673</v>
      </c>
      <c r="T655" s="85">
        <v>0.3878</v>
      </c>
      <c r="U655" s="85">
        <v>0.3878</v>
      </c>
      <c r="V655" s="85">
        <v>0.3946</v>
      </c>
      <c r="W655" s="85">
        <v>0.4014</v>
      </c>
      <c r="X655" s="85">
        <v>0.4014</v>
      </c>
      <c r="Y655" s="85">
        <v>0.415</v>
      </c>
      <c r="Z655" s="85">
        <v>0.415</v>
      </c>
      <c r="AA655" s="85">
        <v>0.415</v>
      </c>
      <c r="AB655" s="85">
        <v>0.415</v>
      </c>
      <c r="AC655" s="85">
        <v>0.4286</v>
      </c>
      <c r="AD655" s="85">
        <v>0.4354</v>
      </c>
      <c r="AE655" s="85">
        <v>0.4422</v>
      </c>
      <c r="AF655" s="85">
        <v>0.4694</v>
      </c>
      <c r="AG655" s="85">
        <v>0.4966</v>
      </c>
      <c r="AH655" s="85">
        <v>0.4966</v>
      </c>
      <c r="AI655" s="85">
        <v>0.5102</v>
      </c>
      <c r="AJ655" s="85">
        <v>0.517</v>
      </c>
      <c r="AK655" s="85">
        <v>0.517</v>
      </c>
      <c r="AL655" s="85">
        <v>0.5442</v>
      </c>
      <c r="AM655" s="85">
        <v>0.551</v>
      </c>
      <c r="AN655" s="85">
        <v>0.5578</v>
      </c>
      <c r="AO655" s="85">
        <v>0.5578</v>
      </c>
      <c r="AP655" s="85">
        <v>0.5578</v>
      </c>
      <c r="AQ655" s="85">
        <v>0.5578</v>
      </c>
      <c r="AR655" s="85">
        <v>0.5714</v>
      </c>
      <c r="AS655" s="85">
        <v>0.5714</v>
      </c>
      <c r="AT655" s="85">
        <v>0.585</v>
      </c>
      <c r="AU655" s="85">
        <v>0.585</v>
      </c>
      <c r="AV655" s="85">
        <v>0.585</v>
      </c>
      <c r="AW655" s="85">
        <v>0.5918</v>
      </c>
      <c r="AX655" s="85">
        <v>0.5986</v>
      </c>
      <c r="AY655" s="85">
        <v>0.5986</v>
      </c>
      <c r="AZ655" s="85">
        <v>0.5986</v>
      </c>
      <c r="BA655" s="85">
        <v>0.5986</v>
      </c>
    </row>
    <row r="656" ht="15.75" customHeight="1">
      <c r="B656" s="52">
        <v>20.0</v>
      </c>
      <c r="C656" s="72">
        <v>0.04752</v>
      </c>
      <c r="D656" s="72">
        <v>0.37937</v>
      </c>
      <c r="E656" s="49">
        <v>141.0</v>
      </c>
      <c r="F656" s="57">
        <v>1.092</v>
      </c>
      <c r="G656" s="57">
        <v>2.906</v>
      </c>
      <c r="H656" s="85">
        <v>0.0</v>
      </c>
      <c r="I656" s="85">
        <v>0.0426</v>
      </c>
      <c r="J656" s="85">
        <v>0.078</v>
      </c>
      <c r="K656" s="85">
        <v>0.1135</v>
      </c>
      <c r="L656" s="85">
        <v>0.1348</v>
      </c>
      <c r="M656" s="85">
        <v>0.1631</v>
      </c>
      <c r="N656" s="85">
        <v>0.2057</v>
      </c>
      <c r="O656" s="85">
        <v>0.2057</v>
      </c>
      <c r="P656" s="85">
        <v>0.2128</v>
      </c>
      <c r="Q656" s="85">
        <v>0.2553</v>
      </c>
      <c r="R656" s="85">
        <v>0.2766</v>
      </c>
      <c r="S656" s="85">
        <v>0.2837</v>
      </c>
      <c r="T656" s="85">
        <v>0.3121</v>
      </c>
      <c r="U656" s="85">
        <v>0.3121</v>
      </c>
      <c r="V656" s="85">
        <v>0.3121</v>
      </c>
      <c r="W656" s="85">
        <v>0.3121</v>
      </c>
      <c r="X656" s="85">
        <v>0.3262</v>
      </c>
      <c r="Y656" s="85">
        <v>0.3404</v>
      </c>
      <c r="Z656" s="85">
        <v>0.3546</v>
      </c>
      <c r="AA656" s="85">
        <v>0.3617</v>
      </c>
      <c r="AB656" s="85">
        <v>0.383</v>
      </c>
      <c r="AC656" s="85">
        <v>0.4043</v>
      </c>
      <c r="AD656" s="85">
        <v>0.4113</v>
      </c>
      <c r="AE656" s="85">
        <v>0.4113</v>
      </c>
      <c r="AF656" s="85">
        <v>0.4184</v>
      </c>
      <c r="AG656" s="85">
        <v>0.4255</v>
      </c>
      <c r="AH656" s="85">
        <v>0.4326</v>
      </c>
      <c r="AI656" s="85">
        <v>0.4326</v>
      </c>
      <c r="AJ656" s="85">
        <v>0.4326</v>
      </c>
      <c r="AK656" s="85">
        <v>0.4326</v>
      </c>
      <c r="AL656" s="85">
        <v>0.4326</v>
      </c>
      <c r="AM656" s="85">
        <v>0.4468</v>
      </c>
      <c r="AN656" s="85">
        <v>0.4468</v>
      </c>
      <c r="AO656" s="85">
        <v>0.4468</v>
      </c>
      <c r="AP656" s="85">
        <v>0.4681</v>
      </c>
      <c r="AQ656" s="85">
        <v>0.4752</v>
      </c>
      <c r="AR656" s="85">
        <v>0.4752</v>
      </c>
      <c r="AS656" s="85">
        <v>0.4823</v>
      </c>
      <c r="AT656" s="85">
        <v>0.4823</v>
      </c>
      <c r="AU656" s="85">
        <v>0.4894</v>
      </c>
      <c r="AV656" s="85">
        <v>0.4965</v>
      </c>
      <c r="AW656" s="85">
        <v>0.4965</v>
      </c>
      <c r="AX656" s="85">
        <v>0.5035</v>
      </c>
      <c r="AY656" s="85">
        <v>0.5035</v>
      </c>
      <c r="AZ656" s="85">
        <v>0.5106</v>
      </c>
      <c r="BA656" s="85">
        <v>0.5177</v>
      </c>
    </row>
  </sheetData>
  <mergeCells count="12">
    <mergeCell ref="D15:K15"/>
    <mergeCell ref="D16:K16"/>
    <mergeCell ref="D17:K17"/>
    <mergeCell ref="D18:K18"/>
    <mergeCell ref="D19:K19"/>
    <mergeCell ref="D8:K8"/>
    <mergeCell ref="D9:K9"/>
    <mergeCell ref="D10:K10"/>
    <mergeCell ref="D11:K11"/>
    <mergeCell ref="D12:K12"/>
    <mergeCell ref="D13:K13"/>
    <mergeCell ref="D14:K14"/>
  </mergeCells>
  <conditionalFormatting sqref="M167:M186">
    <cfRule type="cellIs" dxfId="0" priority="1" operator="equal">
      <formula>"Yes"</formula>
    </cfRule>
  </conditionalFormatting>
  <conditionalFormatting sqref="F250:F254">
    <cfRule type="cellIs" dxfId="0" priority="2" operator="equal">
      <formula>"Yes"</formula>
    </cfRule>
  </conditionalFormatting>
  <conditionalFormatting sqref="F250:F254">
    <cfRule type="expression" dxfId="1" priority="3">
      <formula>LEFT(F250,2)="No"</formula>
    </cfRule>
  </conditionalFormatting>
  <conditionalFormatting sqref="G195:G199">
    <cfRule type="cellIs" dxfId="1" priority="4" operator="equal">
      <formula>"No"</formula>
    </cfRule>
  </conditionalFormatting>
  <conditionalFormatting sqref="K264:K283">
    <cfRule type="cellIs" dxfId="3" priority="5" operator="equal">
      <formula>"HOLD"</formula>
    </cfRule>
  </conditionalFormatting>
  <conditionalFormatting sqref="K264:K283">
    <cfRule type="cellIs" dxfId="4" priority="6" operator="equal">
      <formula>"RETURN"</formula>
    </cfRule>
  </conditionalFormatting>
  <dataValidations>
    <dataValidation type="decimal" allowBlank="1" sqref="C289">
      <formula1>1.0</formula1>
      <formula2>20.0</formula2>
    </dataValidation>
  </dataValidations>
  <printOptions/>
  <pageMargins bottom="1.0" footer="0.0" header="0.0" left="0.75" right="0.75" top="1.0"/>
  <pageSetup fitToHeight="0" paperSize="8" orientation="landscape"/>
  <drawing r:id="rId1"/>
</worksheet>
</file>